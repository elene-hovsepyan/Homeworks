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odel" sheetId="2" r:id="rId6"/>
    <sheet state="visible" name="Sources" sheetId="3" r:id="rId7"/>
  </sheets>
  <definedNames/>
  <calcPr/>
</workbook>
</file>

<file path=xl/sharedStrings.xml><?xml version="1.0" encoding="utf-8"?>
<sst xmlns="http://schemas.openxmlformats.org/spreadsheetml/2006/main" count="89" uniqueCount="71">
  <si>
    <t>Lotus Ring Bass Model</t>
  </si>
  <si>
    <t>Parameter</t>
  </si>
  <si>
    <t>Value</t>
  </si>
  <si>
    <t>Unit</t>
  </si>
  <si>
    <t>Meaning</t>
  </si>
  <si>
    <t>p</t>
  </si>
  <si>
    <t>annual coefficient</t>
  </si>
  <si>
    <t>Innovation effect</t>
  </si>
  <si>
    <t>q</t>
  </si>
  <si>
    <t>Imitation effect</t>
  </si>
  <si>
    <t>Lotus market potential</t>
  </si>
  <si>
    <t>million adopters</t>
  </si>
  <si>
    <t>Base-case U.S. serviceable market</t>
  </si>
  <si>
    <t>Smart-speaker fit RMSE</t>
  </si>
  <si>
    <t>percentage points</t>
  </si>
  <si>
    <t>Typical fit error</t>
  </si>
  <si>
    <t>Smart-speaker fit R-squared</t>
  </si>
  <si>
    <t>ratio</t>
  </si>
  <si>
    <t>Variation explained</t>
  </si>
  <si>
    <t>Year</t>
  </si>
  <si>
    <t>New adopters (m)</t>
  </si>
  <si>
    <t>Cumulative adopters (m)</t>
  </si>
  <si>
    <t>Market penetration</t>
  </si>
  <si>
    <t>Base case: annual adoption peaks around 2030. The forecast is most sensitive to the 8.0 million market-potential assumption.</t>
  </si>
  <si>
    <t>Model build</t>
  </si>
  <si>
    <t>t</t>
  </si>
  <si>
    <t>Observed ownership</t>
  </si>
  <si>
    <t>Fitted ownership</t>
  </si>
  <si>
    <t>Residual</t>
  </si>
  <si>
    <t>Smart-speaker M (%)</t>
  </si>
  <si>
    <t>Lotus M (millions)</t>
  </si>
  <si>
    <t>Smart-speaker M normalized (millions)</t>
  </si>
  <si>
    <t>RMSE</t>
  </si>
  <si>
    <t>R-squared</t>
  </si>
  <si>
    <t>Sources and assumptions</t>
  </si>
  <si>
    <t>Historical series</t>
  </si>
  <si>
    <t>t since 2014</t>
  </si>
  <si>
    <t>Ownership</t>
  </si>
  <si>
    <t>Source</t>
  </si>
  <si>
    <t>Edison Research, Infinite Dial 2023</t>
  </si>
  <si>
    <t>Reference</t>
  </si>
  <si>
    <t>URL</t>
  </si>
  <si>
    <t>Use</t>
  </si>
  <si>
    <t>TIME - Lotus Ring</t>
  </si>
  <si>
    <t>https://time.com/collections/best-inventions-2025/7318226/lotus-ring/</t>
  </si>
  <si>
    <t>Product description</t>
  </si>
  <si>
    <t>Lotus</t>
  </si>
  <si>
    <t>https://getlotus.com/</t>
  </si>
  <si>
    <t>Features and price</t>
  </si>
  <si>
    <t>Edison Research</t>
  </si>
  <si>
    <t>https://www.edisonresearch.com/wp-content/uploads/2023/03/The-Infinite-Dial-2023.pdf</t>
  </si>
  <si>
    <t>Bass (1969)</t>
  </si>
  <si>
    <t>https://doi.org/10.1287/mnsc.15.5.215</t>
  </si>
  <si>
    <t>Model</t>
  </si>
  <si>
    <t>U.S. Census Bureau</t>
  </si>
  <si>
    <t>https://www.census.gov/quickfacts/fact/table/US/PST045225</t>
  </si>
  <si>
    <t>Population</t>
  </si>
  <si>
    <t>CDC</t>
  </si>
  <si>
    <t>https://www.cdc.gov/places/measure-definitions/disability.html</t>
  </si>
  <si>
    <t>Mobility prevalence</t>
  </si>
  <si>
    <t>Fermi input</t>
  </si>
  <si>
    <t>Source / note</t>
  </si>
  <si>
    <t>U.S. population (millions), 2024</t>
  </si>
  <si>
    <t>U.S. Census Bureau QuickFacts</t>
  </si>
  <si>
    <t>Population under 18</t>
  </si>
  <si>
    <t>U.S. adults (millions)</t>
  </si>
  <si>
    <t>Calculated</t>
  </si>
  <si>
    <t>Adults with mobility disability</t>
  </si>
  <si>
    <t>CDC, 2022 prevalence</t>
  </si>
  <si>
    <t>Serviceable share</t>
  </si>
  <si>
    <t>Modeling assumption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</si>
</sst>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0.0%"/>
  </numFmts>
  <fonts count="9">
    <font>
      <sz val="11.0"/>
      <color rgb="FF000000"/>
      <name val="Carlito"/>
      <scheme val="minor"/>
    </font>
    <font>
      <sz val="10.0"/>
      <color rgb="FF25232A"/>
      <name val="Arial"/>
    </font>
    <font>
      <color theme="1"/>
      <name val="Carlito"/>
      <scheme val="minor"/>
    </font>
    <font>
      <b/>
      <sz val="16.0"/>
      <color rgb="FF351C75"/>
      <name val="Arial"/>
    </font>
    <font/>
    <font>
      <b/>
      <sz val="10.0"/>
      <color rgb="FFFFFFFF"/>
      <name val="Arial"/>
    </font>
    <font>
      <i/>
      <sz val="10.0"/>
      <color rgb="FF6B7280"/>
      <name val="Arial"/>
    </font>
    <font>
      <b/>
      <sz val="14.0"/>
      <color rgb="FF4C1D95"/>
      <name val="Arial"/>
    </font>
    <font>
      <b/>
      <sz val="10.0"/>
      <color rgb="FF4C1D9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5F3FF"/>
        <bgColor rgb="FFF5F3FF"/>
      </patternFill>
    </fill>
    <fill>
      <patternFill patternType="solid">
        <fgColor rgb="FFFFFFFF"/>
        <bgColor rgb="FFFFFFFF"/>
      </patternFill>
    </fill>
  </fills>
  <borders count="30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1" fillId="3" fontId="1" numFmtId="164" xfId="0" applyAlignment="1" applyBorder="1" applyFill="1" applyFont="1" applyNumberFormat="1">
      <alignment vertical="center"/>
    </xf>
    <xf borderId="1" fillId="3" fontId="1" numFmtId="2" xfId="0" applyAlignment="1" applyBorder="1" applyFill="1" applyFont="1" applyNumberFormat="1">
      <alignment vertical="center"/>
    </xf>
    <xf borderId="1" fillId="3" fontId="1" numFmtId="165" xfId="0" applyAlignment="1" applyBorder="1" applyFill="1" applyFont="1" applyNumberFormat="1">
      <alignment vertical="center"/>
    </xf>
    <xf borderId="1" fillId="3" fontId="1" numFmtId="166" xfId="0" applyAlignment="1" applyBorder="1" applyFill="1" applyFont="1" applyNumberFormat="1">
      <alignment vertical="center"/>
    </xf>
    <xf borderId="5" fillId="3" fontId="6" numFmtId="0" xfId="0" applyAlignment="1" applyBorder="1" applyFill="1" applyFont="1">
      <alignment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16" fillId="0" fontId="7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4" fillId="0" fontId="2" numFmtId="0" xfId="0" applyBorder="1" applyFont="1"/>
    <xf borderId="17" fillId="3" fontId="1" numFmtId="0" xfId="0" applyAlignment="1" applyBorder="1" applyFill="1" applyFont="1">
      <alignment vertical="center"/>
    </xf>
    <xf borderId="17" fillId="3" fontId="1" numFmtId="164" xfId="0" applyAlignment="1" applyBorder="1" applyFill="1" applyFont="1" applyNumberFormat="1">
      <alignment vertical="center"/>
    </xf>
    <xf borderId="18" fillId="0" fontId="1" numFmtId="0" xfId="0" applyAlignment="1" applyBorder="1" applyFont="1">
      <alignment vertical="center"/>
    </xf>
    <xf borderId="17" fillId="2" fontId="5" numFmtId="0" xfId="0" applyAlignment="1" applyBorder="1" applyFill="1" applyFont="1">
      <alignment horizontal="center" vertical="center"/>
    </xf>
    <xf borderId="19" fillId="2" fontId="5" numFmtId="0" xfId="0" applyAlignment="1" applyBorder="1" applyFill="1" applyFont="1">
      <alignment horizontal="center" vertical="center"/>
    </xf>
    <xf borderId="20" fillId="2" fontId="5" numFmtId="0" xfId="0" applyAlignment="1" applyBorder="1" applyFill="1" applyFont="1">
      <alignment horizontal="center" vertical="center"/>
    </xf>
    <xf borderId="10" fillId="0" fontId="2" numFmtId="0" xfId="0" applyBorder="1" applyFont="1"/>
    <xf borderId="21" fillId="0" fontId="2" numFmtId="0" xfId="0" applyBorder="1" applyFont="1"/>
    <xf borderId="10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22" fillId="0" fontId="1" numFmtId="10" xfId="0" applyAlignment="1" applyBorder="1" applyFont="1" applyNumberFormat="1">
      <alignment vertical="center"/>
    </xf>
    <xf borderId="17" fillId="0" fontId="1" numFmtId="10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17" fillId="3" fontId="1" numFmtId="10" xfId="0" applyAlignment="1" applyBorder="1" applyFill="1" applyFont="1" applyNumberFormat="1">
      <alignment vertical="center"/>
    </xf>
    <xf borderId="17" fillId="3" fontId="1" numFmtId="2" xfId="0" applyAlignment="1" applyBorder="1" applyFill="1" applyFont="1" applyNumberFormat="1">
      <alignment vertical="center"/>
    </xf>
    <xf borderId="17" fillId="3" fontId="1" numFmtId="165" xfId="0" applyAlignment="1" applyBorder="1" applyFill="1" applyFont="1" applyNumberForma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25" fillId="0" fontId="1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13" fillId="0" fontId="2" numFmtId="0" xfId="0" applyBorder="1" applyFont="1"/>
    <xf borderId="28" fillId="0" fontId="2" numFmtId="0" xfId="0" applyBorder="1" applyFont="1"/>
    <xf borderId="15" fillId="0" fontId="2" numFmtId="0" xfId="0" applyBorder="1" applyFont="1"/>
    <xf borderId="29" fillId="0" fontId="2" numFmtId="0" xfId="0" applyBorder="1" applyFont="1"/>
    <xf borderId="17" fillId="0" fontId="1" numFmtId="165" xfId="0" applyAlignment="1" applyBorder="1" applyFont="1" applyNumberFormat="1">
      <alignment vertical="center"/>
    </xf>
    <xf borderId="17" fillId="0" fontId="1" numFmtId="166" xfId="0" applyAlignment="1" applyBorder="1" applyFont="1" applyNumberFormat="1">
      <alignment vertical="center"/>
    </xf>
    <xf borderId="29" fillId="0" fontId="1" numFmtId="0" xfId="0" applyAlignment="1" applyBorder="1" applyFont="1">
      <alignment vertical="center"/>
    </xf>
    <xf borderId="15" fillId="4" fontId="1" numFmtId="0" xfId="0" applyAlignment="1" applyBorder="1" applyFill="1" applyFont="1">
      <alignment vertical="center"/>
    </xf>
    <xf borderId="4" fillId="4" fontId="1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vertical="center"/>
    </xf>
    <xf borderId="15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4" fillId="4" fontId="1" numFmtId="165" xfId="0" applyAlignment="1" applyBorder="1" applyFill="1" applyFont="1" applyNumberFormat="1">
      <alignment vertical="center"/>
    </xf>
    <xf borderId="1" fillId="4" fontId="1" numFmtId="165" xfId="0" applyAlignment="1" applyBorder="1" applyFill="1" applyFont="1" applyNumberFormat="1">
      <alignment vertical="center"/>
    </xf>
    <xf borderId="1" fillId="4" fontId="1" numFmtId="166" xfId="0" applyAlignment="1" applyBorder="1" applyFill="1" applyFont="1" applyNumberFormat="1">
      <alignment vertical="center"/>
    </xf>
    <xf borderId="27" fillId="0" fontId="2" numFmtId="0" xfId="0" applyBorder="1" applyFont="1"/>
    <xf borderId="21" fillId="0" fontId="1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3" fontId="8" numFmtId="0" xfId="0" applyAlignment="1" applyBorder="1" applyFill="1" applyFont="1">
      <alignment vertical="center"/>
    </xf>
    <xf borderId="1" fillId="0" fontId="1" numFmtId="9" xfId="0" applyAlignment="1" applyBorder="1" applyFont="1" applyNumberFormat="1">
      <alignment vertical="center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Lotus Ring adoption forecast (millions)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New adopters (m)</c:v>
          </c:tx>
          <c:spPr>
            <a:ln cmpd="sng" w="19050">
              <a:solidFill>
                <a:srgbClr val="A78BFA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Overview!$A$13:$A$24</c:f>
            </c:strRef>
          </c:cat>
          <c:val>
            <c:numRef>
              <c:f>Overview!$B$13:$B$24</c:f>
              <c:numCache/>
            </c:numRef>
          </c:val>
          <c:smooth val="0"/>
        </c:ser>
        <c:ser>
          <c:idx val="1"/>
          <c:order val="1"/>
          <c:tx>
            <c:v>Cumulative adopters (m)</c:v>
          </c:tx>
          <c:spPr>
            <a:ln cmpd="sng" w="28575">
              <a:solidFill>
                <a:srgbClr val="4C1D9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Overview!$A$13:$A$24</c:f>
            </c:strRef>
          </c:cat>
          <c:val>
            <c:numRef>
              <c:f>Overview!$C$13:$C$24</c:f>
              <c:numCache/>
            </c:numRef>
          </c:val>
          <c:smooth val="0"/>
        </c:ser>
        <c:axId val="1993318746"/>
        <c:axId val="1421099261"/>
      </c:lineChart>
      <c:catAx>
        <c:axId val="1993318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Arial"/>
              </a:defRPr>
            </a:pPr>
          </a:p>
        </c:txPr>
        <c:crossAx val="1421099261"/>
      </c:catAx>
      <c:valAx>
        <c:axId val="1421099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Arial"/>
              </a:defRPr>
            </a:pPr>
          </a:p>
        </c:txPr>
        <c:crossAx val="1993318746"/>
      </c:valAx>
    </c:plotArea>
    <c:legend>
      <c:legendPos val="t"/>
      <c:overlay val="0"/>
      <c:txPr>
        <a:bodyPr/>
        <a:lstStyle/>
        <a:p>
          <a:pPr lvl="0">
            <a:defRPr b="1" i="0" sz="7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3943350" cy="3048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D95"/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3" width="22.0"/>
    <col customWidth="1" min="4" max="4" width="34.0"/>
    <col customWidth="1" min="5" max="26" width="8.6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B2" s="4"/>
      <c r="C2" s="4"/>
      <c r="D2" s="4"/>
      <c r="E2" s="4"/>
      <c r="F2" s="4"/>
      <c r="G2" s="4"/>
      <c r="H2" s="5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6" t="s">
        <v>1</v>
      </c>
      <c r="B5" s="6" t="s">
        <v>2</v>
      </c>
      <c r="C5" s="6" t="s">
        <v>3</v>
      </c>
      <c r="D5" s="6" t="s">
        <v>4</v>
      </c>
      <c r="E5" s="1"/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7" t="s">
        <v>5</v>
      </c>
      <c r="B6" s="8">
        <f>Model!B3</f>
        <v>0.0279795016</v>
      </c>
      <c r="C6" s="7" t="s">
        <v>6</v>
      </c>
      <c r="D6" s="7" t="s">
        <v>7</v>
      </c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7" t="s">
        <v>8</v>
      </c>
      <c r="B7" s="8">
        <f>Model!B4</f>
        <v>0.7343230352</v>
      </c>
      <c r="C7" s="7" t="s">
        <v>6</v>
      </c>
      <c r="D7" s="7" t="s">
        <v>9</v>
      </c>
      <c r="E7" s="1"/>
      <c r="F7" s="1"/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7" t="s">
        <v>10</v>
      </c>
      <c r="B8" s="9">
        <f>Model!B6</f>
        <v>8</v>
      </c>
      <c r="C8" s="7" t="s">
        <v>11</v>
      </c>
      <c r="D8" s="7" t="s">
        <v>12</v>
      </c>
      <c r="E8" s="1"/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7" t="s">
        <v>13</v>
      </c>
      <c r="B9" s="9">
        <f>Model!B8</f>
        <v>1.357418536</v>
      </c>
      <c r="C9" s="7" t="s">
        <v>14</v>
      </c>
      <c r="D9" s="7" t="s">
        <v>15</v>
      </c>
      <c r="E9" s="1"/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7" t="s">
        <v>16</v>
      </c>
      <c r="B10" s="10">
        <f>Model!B9</f>
        <v>0.9805667953</v>
      </c>
      <c r="C10" s="7" t="s">
        <v>17</v>
      </c>
      <c r="D10" s="7" t="s">
        <v>18</v>
      </c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6" t="s">
        <v>19</v>
      </c>
      <c r="B12" s="6" t="s">
        <v>20</v>
      </c>
      <c r="C12" s="6" t="s">
        <v>21</v>
      </c>
      <c r="D12" s="6" t="s">
        <v>22</v>
      </c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7">
        <v>2026.0</v>
      </c>
      <c r="B13" s="10">
        <v>0.3221630607962548</v>
      </c>
      <c r="C13" s="10">
        <v>0.3221630607962548</v>
      </c>
      <c r="D13" s="11">
        <v>0.04027038259953185</v>
      </c>
      <c r="E13" s="1"/>
      <c r="F13" s="1"/>
      <c r="G13" s="1"/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7">
        <v>2027.0</v>
      </c>
      <c r="B14" s="10">
        <v>0.6100080520296411</v>
      </c>
      <c r="C14" s="10">
        <v>0.9321711128258959</v>
      </c>
      <c r="D14" s="11">
        <v>0.11652138910323699</v>
      </c>
      <c r="E14" s="1"/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7">
        <v>2028.0</v>
      </c>
      <c r="B15" s="10">
        <v>1.0283884108899564</v>
      </c>
      <c r="C15" s="10">
        <v>1.9605595237158522</v>
      </c>
      <c r="D15" s="11">
        <v>0.24506994046448152</v>
      </c>
      <c r="E15" s="1"/>
      <c r="F15" s="1"/>
      <c r="G15" s="1"/>
      <c r="H15" s="1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7">
        <v>2029.0</v>
      </c>
      <c r="B16" s="10">
        <v>1.4356548063611292</v>
      </c>
      <c r="C16" s="10">
        <v>3.3962143300769814</v>
      </c>
      <c r="D16" s="11">
        <v>0.42452679125962267</v>
      </c>
      <c r="E16" s="1"/>
      <c r="F16" s="1"/>
      <c r="G16" s="1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7">
        <v>2030.0</v>
      </c>
      <c r="B17" s="10">
        <v>1.5538469098273735</v>
      </c>
      <c r="C17" s="10">
        <v>4.950061239904355</v>
      </c>
      <c r="D17" s="11">
        <v>0.6187576549880444</v>
      </c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7">
        <v>2031.0</v>
      </c>
      <c r="B18" s="10">
        <v>1.2801799138509073</v>
      </c>
      <c r="C18" s="10">
        <v>6.230241153755262</v>
      </c>
      <c r="D18" s="11">
        <v>0.7787801442194078</v>
      </c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7">
        <v>2032.0</v>
      </c>
      <c r="B19" s="10">
        <v>0.838104821716172</v>
      </c>
      <c r="C19" s="10">
        <v>7.068345975471434</v>
      </c>
      <c r="D19" s="11">
        <v>0.8835432469339293</v>
      </c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7">
        <v>2033.0</v>
      </c>
      <c r="B20" s="10">
        <v>0.4692850490626954</v>
      </c>
      <c r="C20" s="10">
        <v>7.53763102453413</v>
      </c>
      <c r="D20" s="11">
        <v>0.9422038780667662</v>
      </c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7">
        <v>2034.0</v>
      </c>
      <c r="B21" s="10">
        <v>0.24002891409924398</v>
      </c>
      <c r="C21" s="10">
        <v>7.777659938633374</v>
      </c>
      <c r="D21" s="11">
        <v>0.9722074923291717</v>
      </c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7">
        <v>2035.0</v>
      </c>
      <c r="B22" s="10">
        <v>0.11709525968756651</v>
      </c>
      <c r="C22" s="10">
        <v>7.89475519832094</v>
      </c>
      <c r="D22" s="11">
        <v>0.9868443997901175</v>
      </c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7">
        <v>2036.0</v>
      </c>
      <c r="B23" s="10">
        <v>0.05580433515068428</v>
      </c>
      <c r="C23" s="10">
        <v>7.950559533471624</v>
      </c>
      <c r="D23" s="11">
        <v>0.993819941683953</v>
      </c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7">
        <v>2037.0</v>
      </c>
      <c r="B24" s="10">
        <v>0.026298509991565133</v>
      </c>
      <c r="C24" s="10">
        <v>7.9768580434631895</v>
      </c>
      <c r="D24" s="11">
        <v>0.9971072554328987</v>
      </c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12" t="s">
        <v>23</v>
      </c>
      <c r="B26" s="13"/>
      <c r="C26" s="13"/>
      <c r="D26" s="13"/>
      <c r="E26" s="13"/>
      <c r="F26" s="13"/>
      <c r="G26" s="13"/>
      <c r="H26" s="14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5"/>
      <c r="B27" s="16"/>
      <c r="C27" s="16"/>
      <c r="D27" s="16"/>
      <c r="E27" s="16"/>
      <c r="F27" s="16"/>
      <c r="G27" s="16"/>
      <c r="H27" s="17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H2"/>
    <mergeCell ref="A26:H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28D9"/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20.5"/>
    <col customWidth="1" min="3" max="5" width="20.0"/>
    <col customWidth="1" min="6" max="6" width="17.5"/>
    <col customWidth="1" min="7" max="9" width="24.0"/>
    <col customWidth="1" min="10" max="10" width="15.88"/>
    <col customWidth="1" min="11" max="26" width="8.63"/>
  </cols>
  <sheetData>
    <row r="1" ht="15.0" customHeight="1">
      <c r="A1" s="18"/>
      <c r="B1" s="19"/>
      <c r="C1" s="20"/>
      <c r="D1" s="21"/>
      <c r="E1" s="18"/>
      <c r="F1" s="18"/>
      <c r="G1" s="18"/>
      <c r="H1" s="18"/>
      <c r="I1" s="18"/>
      <c r="J1" s="18"/>
      <c r="K1" s="18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6.5" customHeight="1">
      <c r="A2" s="22" t="s">
        <v>24</v>
      </c>
      <c r="B2" s="23"/>
      <c r="C2" s="24"/>
      <c r="D2" s="25"/>
      <c r="E2" s="24"/>
      <c r="F2" s="24"/>
      <c r="G2" s="24"/>
      <c r="H2" s="24"/>
      <c r="I2" s="24"/>
      <c r="J2" s="26"/>
      <c r="K2" s="26"/>
      <c r="L2" s="27"/>
      <c r="M2" s="2"/>
      <c r="N2" s="2"/>
      <c r="O2" s="2"/>
      <c r="P2" s="2"/>
      <c r="Q2" s="2"/>
      <c r="R2" s="2"/>
      <c r="S2" s="2"/>
      <c r="T2" s="2"/>
      <c r="U2" s="2"/>
      <c r="V2" s="2"/>
    </row>
    <row r="3" ht="15.0" customHeight="1">
      <c r="A3" s="28" t="s">
        <v>5</v>
      </c>
      <c r="B3" s="29">
        <v>0.0279795016</v>
      </c>
      <c r="C3" s="30"/>
      <c r="D3" s="31" t="s">
        <v>19</v>
      </c>
      <c r="E3" s="32" t="s">
        <v>25</v>
      </c>
      <c r="F3" s="33" t="s">
        <v>26</v>
      </c>
      <c r="G3" s="32" t="s">
        <v>27</v>
      </c>
      <c r="H3" s="32" t="s">
        <v>28</v>
      </c>
      <c r="I3" s="34"/>
      <c r="J3" s="35"/>
      <c r="K3" s="36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0" customHeight="1">
      <c r="A4" s="28" t="s">
        <v>8</v>
      </c>
      <c r="B4" s="29">
        <v>0.7343230352</v>
      </c>
      <c r="C4" s="30"/>
      <c r="D4" s="37">
        <f>Sources!A5</f>
        <v>2017</v>
      </c>
      <c r="E4" s="37">
        <f>Sources!B5</f>
        <v>3</v>
      </c>
      <c r="F4" s="38">
        <f>Sources!C5</f>
        <v>0.07</v>
      </c>
      <c r="G4" s="39">
        <f t="shared" ref="G4:G10" si="1">$B$5*(1-EXP(-($B$3+$B$4)*E4))/(1+($B$4/$B$3)*EXP(-($B$3+$B$4)*E4))</f>
        <v>0.0903886922</v>
      </c>
      <c r="H4" s="39">
        <f t="shared" ref="H4:H10" si="2">F4-G4</f>
        <v>-0.0203886922</v>
      </c>
      <c r="I4" s="27"/>
      <c r="J4" s="2"/>
      <c r="K4" s="40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28" t="s">
        <v>29</v>
      </c>
      <c r="B5" s="41">
        <v>0.3688281477</v>
      </c>
      <c r="C5" s="30"/>
      <c r="D5" s="37">
        <f>Sources!A6</f>
        <v>2018</v>
      </c>
      <c r="E5" s="37">
        <f>Sources!B6</f>
        <v>4</v>
      </c>
      <c r="F5" s="38">
        <f>Sources!C6</f>
        <v>0.18</v>
      </c>
      <c r="G5" s="39">
        <f t="shared" si="1"/>
        <v>0.1565774301</v>
      </c>
      <c r="H5" s="39">
        <f t="shared" si="2"/>
        <v>0.02342256993</v>
      </c>
      <c r="I5" s="27"/>
      <c r="J5" s="2"/>
      <c r="K5" s="40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5.0" customHeight="1">
      <c r="A6" s="28" t="s">
        <v>30</v>
      </c>
      <c r="B6" s="42">
        <v>8.0</v>
      </c>
      <c r="C6" s="30"/>
      <c r="D6" s="37">
        <f>Sources!A7</f>
        <v>2019</v>
      </c>
      <c r="E6" s="37">
        <f>Sources!B7</f>
        <v>5</v>
      </c>
      <c r="F6" s="38">
        <f>Sources!C7</f>
        <v>0.23</v>
      </c>
      <c r="G6" s="39">
        <f t="shared" si="1"/>
        <v>0.2282152398</v>
      </c>
      <c r="H6" s="39">
        <f t="shared" si="2"/>
        <v>0.001784760236</v>
      </c>
      <c r="I6" s="27"/>
      <c r="J6" s="2"/>
      <c r="K6" s="40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5.0" customHeight="1">
      <c r="A7" s="28" t="s">
        <v>31</v>
      </c>
      <c r="B7" s="42">
        <v>105.5258311</v>
      </c>
      <c r="C7" s="30"/>
      <c r="D7" s="37">
        <f>Sources!A8</f>
        <v>2020</v>
      </c>
      <c r="E7" s="37">
        <f>Sources!B8</f>
        <v>6</v>
      </c>
      <c r="F7" s="38">
        <f>Sources!C8</f>
        <v>0.27</v>
      </c>
      <c r="G7" s="39">
        <f t="shared" si="1"/>
        <v>0.2872360381</v>
      </c>
      <c r="H7" s="39">
        <f t="shared" si="2"/>
        <v>-0.01723603806</v>
      </c>
      <c r="I7" s="27"/>
      <c r="J7" s="2"/>
      <c r="K7" s="40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5.0" customHeight="1">
      <c r="A8" s="28" t="s">
        <v>32</v>
      </c>
      <c r="B8" s="42">
        <v>1.357418536</v>
      </c>
      <c r="C8" s="30"/>
      <c r="D8" s="37">
        <f>Sources!A9</f>
        <v>2021</v>
      </c>
      <c r="E8" s="37">
        <f>Sources!B9</f>
        <v>7</v>
      </c>
      <c r="F8" s="38">
        <f>Sources!C9</f>
        <v>0.33</v>
      </c>
      <c r="G8" s="39">
        <f t="shared" si="1"/>
        <v>0.3258756192</v>
      </c>
      <c r="H8" s="39">
        <f t="shared" si="2"/>
        <v>0.004124380821</v>
      </c>
      <c r="I8" s="27"/>
      <c r="J8" s="2"/>
      <c r="K8" s="40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5.0" customHeight="1">
      <c r="A9" s="28" t="s">
        <v>33</v>
      </c>
      <c r="B9" s="43">
        <v>0.9805667953</v>
      </c>
      <c r="C9" s="30"/>
      <c r="D9" s="37">
        <f>Sources!A10</f>
        <v>2022</v>
      </c>
      <c r="E9" s="37">
        <f>Sources!B10</f>
        <v>8</v>
      </c>
      <c r="F9" s="38">
        <f>Sources!C10</f>
        <v>0.35</v>
      </c>
      <c r="G9" s="39">
        <f t="shared" si="1"/>
        <v>0.3475113111</v>
      </c>
      <c r="H9" s="39">
        <f t="shared" si="2"/>
        <v>0.002488688897</v>
      </c>
      <c r="I9" s="27"/>
      <c r="J9" s="2"/>
      <c r="K9" s="40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5.0" customHeight="1">
      <c r="A10" s="44"/>
      <c r="B10" s="45"/>
      <c r="C10" s="46"/>
      <c r="D10" s="37">
        <f>Sources!A11</f>
        <v>2023</v>
      </c>
      <c r="E10" s="37">
        <f>Sources!B11</f>
        <v>9</v>
      </c>
      <c r="F10" s="39">
        <f>Sources!C11</f>
        <v>0.36</v>
      </c>
      <c r="G10" s="39">
        <f t="shared" si="1"/>
        <v>0.3585774886</v>
      </c>
      <c r="H10" s="39">
        <f t="shared" si="2"/>
        <v>0.001422511424</v>
      </c>
      <c r="I10" s="27"/>
      <c r="J10" s="2"/>
      <c r="K10" s="4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0" customHeight="1">
      <c r="A11" s="26"/>
      <c r="B11" s="46"/>
      <c r="C11" s="26"/>
      <c r="D11" s="47"/>
      <c r="E11" s="48"/>
      <c r="F11" s="48"/>
      <c r="G11" s="34"/>
      <c r="H11" s="35"/>
      <c r="I11" s="2"/>
      <c r="J11" s="2"/>
      <c r="K11" s="4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0" customHeight="1">
      <c r="A12" s="49"/>
      <c r="B12" s="49"/>
      <c r="C12" s="50"/>
      <c r="D12" s="49"/>
      <c r="E12" s="51"/>
      <c r="F12" s="26"/>
      <c r="G12" s="27"/>
      <c r="H12" s="2"/>
      <c r="I12" s="2"/>
      <c r="J12" s="2"/>
      <c r="K12" s="4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0" customHeight="1">
      <c r="A13" s="31" t="s">
        <v>19</v>
      </c>
      <c r="B13" s="31" t="s">
        <v>21</v>
      </c>
      <c r="C13" s="31" t="s">
        <v>20</v>
      </c>
      <c r="D13" s="31" t="s">
        <v>22</v>
      </c>
      <c r="E13" s="52"/>
      <c r="F13" s="26"/>
      <c r="G13" s="27"/>
      <c r="H13" s="2"/>
      <c r="I13" s="2"/>
      <c r="J13" s="2"/>
      <c r="K13" s="4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0" customHeight="1">
      <c r="A14" s="37">
        <v>2026.0</v>
      </c>
      <c r="B14" s="53">
        <f>$B$6*(1-EXP(-($B$3+$B$4)*1))/(1+($B$4/$B$3)*EXP(-($B$3+$B$4)*1))</f>
        <v>0.3221630608</v>
      </c>
      <c r="C14" s="53">
        <f>B14</f>
        <v>0.3221630608</v>
      </c>
      <c r="D14" s="54">
        <f t="shared" ref="D14:D25" si="3">B14/$B$6</f>
        <v>0.0402703826</v>
      </c>
      <c r="E14" s="52"/>
      <c r="F14" s="26"/>
      <c r="G14" s="27"/>
      <c r="H14" s="2"/>
      <c r="I14" s="2"/>
      <c r="J14" s="2"/>
      <c r="K14" s="4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5.0" customHeight="1">
      <c r="A15" s="37">
        <v>2027.0</v>
      </c>
      <c r="B15" s="53">
        <f>$B$6*(1-EXP(-($B$3+$B$4)*2))/(1+($B$4/$B$3)*EXP(-($B$3+$B$4)*2))</f>
        <v>0.9321711128</v>
      </c>
      <c r="C15" s="53">
        <f t="shared" ref="C15:C25" si="4">B15-B14</f>
        <v>0.610008052</v>
      </c>
      <c r="D15" s="54">
        <f t="shared" si="3"/>
        <v>0.1165213891</v>
      </c>
      <c r="E15" s="52"/>
      <c r="F15" s="26"/>
      <c r="G15" s="27"/>
      <c r="H15" s="2"/>
      <c r="I15" s="2"/>
      <c r="J15" s="2"/>
      <c r="K15" s="4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5.0" customHeight="1">
      <c r="A16" s="37">
        <v>2028.0</v>
      </c>
      <c r="B16" s="53">
        <f>$B$6*(1-EXP(-($B$3+$B$4)*3))/(1+($B$4/$B$3)*EXP(-($B$3+$B$4)*3))</f>
        <v>1.960559524</v>
      </c>
      <c r="C16" s="53">
        <f t="shared" si="4"/>
        <v>1.028388411</v>
      </c>
      <c r="D16" s="54">
        <f t="shared" si="3"/>
        <v>0.2450699405</v>
      </c>
      <c r="E16" s="52"/>
      <c r="F16" s="26"/>
      <c r="G16" s="27"/>
      <c r="H16" s="2"/>
      <c r="I16" s="2"/>
      <c r="J16" s="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5.0" customHeight="1">
      <c r="A17" s="37">
        <v>2029.0</v>
      </c>
      <c r="B17" s="53">
        <f>$B$6*(1-EXP(-($B$3+$B$4)*4))/(1+($B$4/$B$3)*EXP(-($B$3+$B$4)*4))</f>
        <v>3.39621433</v>
      </c>
      <c r="C17" s="53">
        <f t="shared" si="4"/>
        <v>1.435654806</v>
      </c>
      <c r="D17" s="54">
        <f t="shared" si="3"/>
        <v>0.4245267913</v>
      </c>
      <c r="E17" s="52"/>
      <c r="F17" s="26"/>
      <c r="G17" s="40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5.0" customHeight="1">
      <c r="A18" s="37">
        <v>2030.0</v>
      </c>
      <c r="B18" s="53">
        <f>$B$6*(1-EXP(-($B$3+$B$4)*5))/(1+($B$4/$B$3)*EXP(-($B$3+$B$4)*5))</f>
        <v>4.95006124</v>
      </c>
      <c r="C18" s="53">
        <f t="shared" si="4"/>
        <v>1.55384691</v>
      </c>
      <c r="D18" s="54">
        <f t="shared" si="3"/>
        <v>0.618757655</v>
      </c>
      <c r="E18" s="52"/>
      <c r="F18" s="26"/>
      <c r="G18" s="40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5.0" customHeight="1">
      <c r="A19" s="37">
        <v>2031.0</v>
      </c>
      <c r="B19" s="53">
        <f>$B$6*(1-EXP(-($B$3+$B$4)*6))/(1+($B$4/$B$3)*EXP(-($B$3+$B$4)*6))</f>
        <v>6.230241154</v>
      </c>
      <c r="C19" s="53">
        <f t="shared" si="4"/>
        <v>1.280179914</v>
      </c>
      <c r="D19" s="54">
        <f t="shared" si="3"/>
        <v>0.7787801442</v>
      </c>
      <c r="E19" s="52"/>
      <c r="F19" s="26"/>
      <c r="G19" s="40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5.0" customHeight="1">
      <c r="A20" s="37">
        <v>2032.0</v>
      </c>
      <c r="B20" s="53">
        <f>$B$6*(1-EXP(-($B$3+$B$4)*7))/(1+($B$4/$B$3)*EXP(-($B$3+$B$4)*7))</f>
        <v>7.068345975</v>
      </c>
      <c r="C20" s="53">
        <f t="shared" si="4"/>
        <v>0.8381048217</v>
      </c>
      <c r="D20" s="54">
        <f t="shared" si="3"/>
        <v>0.8835432469</v>
      </c>
      <c r="E20" s="55"/>
      <c r="F20" s="26"/>
      <c r="G20" s="40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0" customHeight="1">
      <c r="A21" s="37">
        <v>2033.0</v>
      </c>
      <c r="B21" s="53">
        <f>$B$6*(1-EXP(-($B$3+$B$4)*8))/(1+($B$4/$B$3)*EXP(-($B$3+$B$4)*8))</f>
        <v>7.537631025</v>
      </c>
      <c r="C21" s="53">
        <f t="shared" si="4"/>
        <v>0.4692850491</v>
      </c>
      <c r="D21" s="54">
        <f t="shared" si="3"/>
        <v>0.9422038781</v>
      </c>
      <c r="E21" s="55"/>
      <c r="F21" s="56"/>
      <c r="G21" s="57"/>
      <c r="H21" s="58"/>
      <c r="I21" s="58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0" customHeight="1">
      <c r="A22" s="37">
        <v>2034.0</v>
      </c>
      <c r="B22" s="53">
        <f>$B$6*(1-EXP(-($B$3+$B$4)*9))/(1+($B$4/$B$3)*EXP(-($B$3+$B$4)*9))</f>
        <v>7.777659939</v>
      </c>
      <c r="C22" s="53">
        <f t="shared" si="4"/>
        <v>0.2400289141</v>
      </c>
      <c r="D22" s="54">
        <f t="shared" si="3"/>
        <v>0.9722074923</v>
      </c>
      <c r="E22" s="55"/>
      <c r="F22" s="56"/>
      <c r="G22" s="57"/>
      <c r="H22" s="58"/>
      <c r="I22" s="58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0" customHeight="1">
      <c r="A23" s="37">
        <v>2035.0</v>
      </c>
      <c r="B23" s="53">
        <f>$B$6*(1-EXP(-($B$3+$B$4)*10))/(1+($B$4/$B$3)*EXP(-($B$3+$B$4)*10))</f>
        <v>7.894755198</v>
      </c>
      <c r="C23" s="53">
        <f t="shared" si="4"/>
        <v>0.1170952597</v>
      </c>
      <c r="D23" s="54">
        <f t="shared" si="3"/>
        <v>0.9868443998</v>
      </c>
      <c r="E23" s="55"/>
      <c r="F23" s="56"/>
      <c r="G23" s="57"/>
      <c r="H23" s="58"/>
      <c r="I23" s="58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0" customHeight="1">
      <c r="A24" s="37">
        <v>2036.0</v>
      </c>
      <c r="B24" s="53">
        <f>$B$6*(1-EXP(-($B$3+$B$4)*11))/(1+($B$4/$B$3)*EXP(-($B$3+$B$4)*11))</f>
        <v>7.950559533</v>
      </c>
      <c r="C24" s="53">
        <f t="shared" si="4"/>
        <v>0.05580433515</v>
      </c>
      <c r="D24" s="54">
        <f t="shared" si="3"/>
        <v>0.9938199417</v>
      </c>
      <c r="E24" s="55"/>
      <c r="F24" s="59"/>
      <c r="G24" s="60"/>
      <c r="H24" s="61"/>
      <c r="I24" s="6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0" customHeight="1">
      <c r="A25" s="37">
        <v>2037.0</v>
      </c>
      <c r="B25" s="53">
        <f>$B$6*(1-EXP(-($B$3+$B$4)*12))/(1+($B$4/$B$3)*EXP(-($B$3+$B$4)*12))</f>
        <v>7.976858043</v>
      </c>
      <c r="C25" s="53">
        <f t="shared" si="4"/>
        <v>0.02629850999</v>
      </c>
      <c r="D25" s="54">
        <f t="shared" si="3"/>
        <v>0.9971072554</v>
      </c>
      <c r="E25" s="55"/>
      <c r="F25" s="56"/>
      <c r="G25" s="62"/>
      <c r="H25" s="63"/>
      <c r="I25" s="64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0" customHeight="1">
      <c r="A26" s="65"/>
      <c r="B26" s="65"/>
      <c r="C26" s="65"/>
      <c r="D26" s="65"/>
      <c r="E26" s="26"/>
      <c r="F26" s="56"/>
      <c r="G26" s="62"/>
      <c r="H26" s="63"/>
      <c r="I26" s="64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0" customHeight="1">
      <c r="A27" s="51"/>
      <c r="B27" s="51"/>
      <c r="C27" s="51"/>
      <c r="D27" s="51"/>
      <c r="E27" s="26"/>
      <c r="F27" s="56"/>
      <c r="G27" s="62"/>
      <c r="H27" s="63"/>
      <c r="I27" s="64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0" customHeight="1">
      <c r="A28" s="51"/>
      <c r="B28" s="51"/>
      <c r="C28" s="51"/>
      <c r="D28" s="51"/>
      <c r="E28" s="26"/>
      <c r="F28" s="56"/>
      <c r="G28" s="62"/>
      <c r="H28" s="63"/>
      <c r="I28" s="64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0" customHeight="1">
      <c r="A29" s="51"/>
      <c r="B29" s="51"/>
      <c r="C29" s="51"/>
      <c r="D29" s="51"/>
      <c r="E29" s="26"/>
      <c r="F29" s="56"/>
      <c r="G29" s="62"/>
      <c r="H29" s="63"/>
      <c r="I29" s="64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0" customHeight="1">
      <c r="A30" s="51"/>
      <c r="B30" s="51"/>
      <c r="C30" s="51"/>
      <c r="D30" s="51"/>
      <c r="E30" s="26"/>
      <c r="F30" s="56"/>
      <c r="G30" s="62"/>
      <c r="H30" s="63"/>
      <c r="I30" s="64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0" customHeight="1">
      <c r="A31" s="51"/>
      <c r="B31" s="51"/>
      <c r="C31" s="51"/>
      <c r="D31" s="51"/>
      <c r="E31" s="26"/>
      <c r="F31" s="56"/>
      <c r="G31" s="62"/>
      <c r="H31" s="63"/>
      <c r="I31" s="64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0" customHeight="1">
      <c r="A32" s="51"/>
      <c r="B32" s="51"/>
      <c r="C32" s="51"/>
      <c r="D32" s="51"/>
      <c r="E32" s="26"/>
      <c r="F32" s="56"/>
      <c r="G32" s="62"/>
      <c r="H32" s="63"/>
      <c r="I32" s="64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0" customHeight="1">
      <c r="A33" s="51"/>
      <c r="B33" s="51"/>
      <c r="C33" s="51"/>
      <c r="D33" s="51"/>
      <c r="E33" s="26"/>
      <c r="F33" s="56"/>
      <c r="G33" s="62"/>
      <c r="H33" s="63"/>
      <c r="I33" s="64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0" customHeight="1">
      <c r="A34" s="26"/>
      <c r="B34" s="26"/>
      <c r="C34" s="26"/>
      <c r="D34" s="26"/>
      <c r="E34" s="26"/>
      <c r="F34" s="56"/>
      <c r="G34" s="62"/>
      <c r="H34" s="63"/>
      <c r="I34" s="64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0" customHeight="1">
      <c r="A35" s="26"/>
      <c r="B35" s="26"/>
      <c r="C35" s="26"/>
      <c r="D35" s="26"/>
      <c r="E35" s="26"/>
      <c r="F35" s="56"/>
      <c r="G35" s="62"/>
      <c r="H35" s="63"/>
      <c r="I35" s="64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0" customHeight="1">
      <c r="A36" s="26"/>
      <c r="B36" s="26"/>
      <c r="C36" s="26"/>
      <c r="D36" s="26"/>
      <c r="E36" s="26"/>
      <c r="F36" s="56"/>
      <c r="G36" s="62"/>
      <c r="H36" s="63"/>
      <c r="I36" s="64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0" customHeight="1">
      <c r="A37" s="66"/>
      <c r="B37" s="66"/>
      <c r="C37" s="66"/>
      <c r="D37" s="66"/>
      <c r="E37" s="66"/>
      <c r="F37" s="66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78BFA"/>
    <pageSetUpPr/>
  </sheetPr>
  <sheetViews>
    <sheetView showGridLines="0" workbookViewId="0"/>
  </sheetViews>
  <sheetFormatPr customHeight="1" defaultColWidth="12.63" defaultRowHeight="15.0"/>
  <cols>
    <col customWidth="1" min="1" max="1" width="26.38"/>
    <col customWidth="1" min="2" max="2" width="37.5"/>
    <col customWidth="1" min="3" max="3" width="25.0"/>
    <col customWidth="1" min="4" max="4" width="35.0"/>
    <col customWidth="1" min="5" max="5" width="8.63"/>
    <col customWidth="1" min="6" max="6" width="9.5"/>
    <col customWidth="1" min="7" max="7" width="9.75"/>
    <col customWidth="1" min="8" max="8" width="9.63"/>
    <col customWidth="1" min="9" max="26" width="8.63"/>
  </cols>
  <sheetData>
    <row r="1">
      <c r="A1" s="67" t="s">
        <v>34</v>
      </c>
      <c r="B1" s="5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/>
      <c r="B2" s="2"/>
      <c r="C2" s="68"/>
      <c r="D2" s="68"/>
      <c r="E2" s="68"/>
      <c r="F2" s="68"/>
      <c r="G2" s="68"/>
      <c r="H2" s="68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69" t="s">
        <v>35</v>
      </c>
      <c r="B3" s="69"/>
      <c r="C3" s="69"/>
      <c r="D3" s="69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6" t="s">
        <v>19</v>
      </c>
      <c r="B4" s="6" t="s">
        <v>36</v>
      </c>
      <c r="C4" s="6" t="s">
        <v>37</v>
      </c>
      <c r="D4" s="6" t="s">
        <v>38</v>
      </c>
      <c r="E4" s="1"/>
      <c r="F4" s="2"/>
      <c r="G4" s="2"/>
      <c r="H4" s="2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>
        <v>2017.0</v>
      </c>
      <c r="B5" s="1">
        <v>3.0</v>
      </c>
      <c r="C5" s="70">
        <v>0.07</v>
      </c>
      <c r="D5" s="1" t="s">
        <v>39</v>
      </c>
      <c r="E5" s="1"/>
      <c r="F5" s="2"/>
      <c r="G5" s="2"/>
      <c r="H5" s="2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>
        <v>2018.0</v>
      </c>
      <c r="B6" s="1">
        <v>4.0</v>
      </c>
      <c r="C6" s="70">
        <v>0.18</v>
      </c>
      <c r="D6" s="1" t="s">
        <v>39</v>
      </c>
      <c r="E6" s="1"/>
      <c r="F6" s="2"/>
      <c r="G6" s="2"/>
      <c r="H6" s="2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1">
        <v>2019.0</v>
      </c>
      <c r="B7" s="1">
        <v>5.0</v>
      </c>
      <c r="C7" s="70">
        <v>0.23</v>
      </c>
      <c r="D7" s="1" t="s">
        <v>39</v>
      </c>
      <c r="E7" s="1"/>
      <c r="F7" s="2"/>
      <c r="G7" s="2"/>
      <c r="H7" s="2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>
        <v>2020.0</v>
      </c>
      <c r="B8" s="1">
        <v>6.0</v>
      </c>
      <c r="C8" s="70">
        <v>0.27</v>
      </c>
      <c r="D8" s="1" t="s">
        <v>39</v>
      </c>
      <c r="E8" s="1"/>
      <c r="F8" s="2"/>
      <c r="G8" s="2"/>
      <c r="H8" s="2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>
        <v>2021.0</v>
      </c>
      <c r="B9" s="1">
        <v>7.0</v>
      </c>
      <c r="C9" s="70">
        <v>0.33</v>
      </c>
      <c r="D9" s="1" t="s">
        <v>39</v>
      </c>
      <c r="E9" s="1"/>
      <c r="F9" s="2"/>
      <c r="G9" s="2"/>
      <c r="H9" s="2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>
        <v>2022.0</v>
      </c>
      <c r="B10" s="1">
        <v>8.0</v>
      </c>
      <c r="C10" s="70">
        <v>0.35</v>
      </c>
      <c r="D10" s="1" t="s">
        <v>39</v>
      </c>
      <c r="E10" s="1"/>
      <c r="F10" s="2"/>
      <c r="G10" s="2"/>
      <c r="H10" s="2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>
        <v>2023.0</v>
      </c>
      <c r="B11" s="1">
        <v>9.0</v>
      </c>
      <c r="C11" s="70">
        <v>0.36</v>
      </c>
      <c r="D11" s="1" t="s">
        <v>39</v>
      </c>
      <c r="E11" s="1"/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1"/>
      <c r="E12" s="1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6" t="s">
        <v>40</v>
      </c>
      <c r="B13" s="6" t="s">
        <v>41</v>
      </c>
      <c r="C13" s="6" t="s">
        <v>42</v>
      </c>
      <c r="D13" s="1"/>
      <c r="E13" s="1"/>
      <c r="F13" s="1"/>
      <c r="G13" s="1"/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71" t="s">
        <v>43</v>
      </c>
      <c r="B14" s="71" t="s">
        <v>44</v>
      </c>
      <c r="C14" s="71" t="s">
        <v>45</v>
      </c>
      <c r="D14" s="1"/>
      <c r="E14" s="1"/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71" t="s">
        <v>46</v>
      </c>
      <c r="B15" s="71" t="s">
        <v>47</v>
      </c>
      <c r="C15" s="71" t="s">
        <v>48</v>
      </c>
      <c r="D15" s="1"/>
      <c r="E15" s="1"/>
      <c r="F15" s="1"/>
      <c r="G15" s="1"/>
      <c r="H15" s="1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71" t="s">
        <v>49</v>
      </c>
      <c r="B16" s="71" t="s">
        <v>50</v>
      </c>
      <c r="C16" s="71" t="s">
        <v>35</v>
      </c>
      <c r="D16" s="1"/>
      <c r="E16" s="1"/>
      <c r="F16" s="1"/>
      <c r="G16" s="1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1" t="s">
        <v>51</v>
      </c>
      <c r="B17" s="71" t="s">
        <v>52</v>
      </c>
      <c r="C17" s="71" t="s">
        <v>53</v>
      </c>
      <c r="D17" s="1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1" t="s">
        <v>54</v>
      </c>
      <c r="B18" s="71" t="s">
        <v>55</v>
      </c>
      <c r="C18" s="71" t="s">
        <v>56</v>
      </c>
      <c r="D18" s="1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1" t="s">
        <v>57</v>
      </c>
      <c r="B19" s="71" t="s">
        <v>58</v>
      </c>
      <c r="C19" s="71" t="s">
        <v>59</v>
      </c>
      <c r="D19" s="1"/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1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60</v>
      </c>
      <c r="B21" s="6" t="s">
        <v>2</v>
      </c>
      <c r="C21" s="6" t="s">
        <v>61</v>
      </c>
      <c r="D21" s="2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7" t="s">
        <v>62</v>
      </c>
      <c r="B22" s="10">
        <v>340.110988</v>
      </c>
      <c r="C22" s="7" t="s">
        <v>63</v>
      </c>
      <c r="D22" s="2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7" t="s">
        <v>64</v>
      </c>
      <c r="B23" s="11">
        <v>0.215</v>
      </c>
      <c r="C23" s="7" t="s">
        <v>63</v>
      </c>
      <c r="D23" s="2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7" t="s">
        <v>65</v>
      </c>
      <c r="B24" s="10">
        <v>266.987126</v>
      </c>
      <c r="C24" s="7" t="s">
        <v>66</v>
      </c>
      <c r="D24" s="2"/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7" t="s">
        <v>67</v>
      </c>
      <c r="B25" s="11">
        <v>0.122</v>
      </c>
      <c r="C25" s="7" t="s">
        <v>68</v>
      </c>
      <c r="D25" s="2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7" t="s">
        <v>69</v>
      </c>
      <c r="B26" s="11">
        <v>0.25</v>
      </c>
      <c r="C26" s="7" t="s">
        <v>70</v>
      </c>
      <c r="D26" s="2"/>
      <c r="E26" s="1"/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"/>
      <c r="B27" s="2"/>
      <c r="C27" s="2"/>
      <c r="D27" s="2"/>
      <c r="E27" s="1"/>
      <c r="F27" s="1"/>
      <c r="G27" s="1"/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/>
      <c r="B28" s="2"/>
      <c r="C28" s="2"/>
      <c r="D28" s="2"/>
      <c r="E28" s="1"/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