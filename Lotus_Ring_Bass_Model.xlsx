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ba39c452a145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e6d4b43934541c1"/>
    <x:sheet xmlns:r="http://schemas.openxmlformats.org/officeDocument/2006/relationships" name="Model" sheetId="2" r:id="R54ab5cee3afb490c"/>
    <x:sheet xmlns:r="http://schemas.openxmlformats.org/officeDocument/2006/relationships" name="Sources" sheetId="3" r:id="R8ee3ab1c1e5a42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00"/>
    <x:numFmt numFmtId="201" formatCode="0.00"/>
    <x:numFmt numFmtId="202" formatCode="0.000"/>
    <x:numFmt numFmtId="203" formatCode="0.0%"/>
    <x:numFmt numFmtId="204" formatCode="0.00%"/>
    <x:numFmt numFmtId="205" formatCode="0%"/>
  </x:numFmts>
  <x:fonts count="7">
    <x:font>
      <x:sz val="11"/>
      <x:name val="Carlito"/>
    </x:font>
    <x:font>
      <x:sz val="10"/>
      <x:color rgb="FF25232A"/>
      <x:name val="Arial"/>
    </x:font>
    <x:font>
      <x:b/>
      <x:sz val="16"/>
      <x:color rgb="FF4C1D95"/>
      <x:name val="Arial"/>
    </x:font>
    <x:font>
      <x:b/>
      <x:sz val="10"/>
      <x:color rgb="FFFFFFFF"/>
      <x:name val="Arial"/>
    </x:font>
    <x:font>
      <x:i/>
      <x:sz val="10"/>
      <x:color rgb="FF6B7280"/>
      <x:name val="Arial"/>
    </x:font>
    <x:font>
      <x:b/>
      <x:sz val="14"/>
      <x:color rgb="FF4C1D95"/>
      <x:name val="Arial"/>
    </x:font>
    <x:font>
      <x:b/>
      <x:sz val="10"/>
      <x:color rgb="FF4C1D9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6D28D9"/>
      </x:patternFill>
    </x:fill>
    <x:fill>
      <x:patternFill patternType="solid">
        <x:fgColor rgb="FFF5F3FF"/>
      </x:patternFill>
    </x:fill>
  </x:fills>
  <x:borders count="11">
    <x:border>
      <x:left/>
      <x:right/>
      <x:top/>
      <x:bottom/>
      <x:diagonal/>
    </x:border>
    <x:border>
      <x:left/>
      <x:right/>
      <x:top/>
      <x:bottom style="medium">
        <x:color rgb="FF6D28D9"/>
      </x:bottom>
      <x:diagonal/>
    </x:border>
    <x:border>
      <x:left/>
      <x:right style="thin">
        <x:color rgb="FFDDD6FE"/>
      </x:right>
      <x:top/>
      <x:bottom style="thin">
        <x:color rgb="FFDDD6FE"/>
      </x:bottom>
      <x:diagonal/>
    </x:border>
    <x:border>
      <x:left style="thin">
        <x:color rgb="FFDDD6FE"/>
      </x:left>
      <x:right style="thin">
        <x:color rgb="FFDDD6FE"/>
      </x:right>
      <x:top/>
      <x:bottom style="thin">
        <x:color rgb="FFDDD6FE"/>
      </x:bottom>
      <x:diagonal/>
    </x:border>
    <x:border>
      <x:left style="thin">
        <x:color rgb="FFDDD6FE"/>
      </x:left>
      <x:right/>
      <x:top/>
      <x:bottom style="thin">
        <x:color rgb="FFDDD6FE"/>
      </x:bottom>
      <x:diagonal/>
    </x:border>
    <x:border>
      <x:left/>
      <x:right style="thin">
        <x:color rgb="FFDDD6FE"/>
      </x:right>
      <x:top style="thin">
        <x:color rgb="FFDDD6FE"/>
      </x:top>
      <x:bottom style="thin">
        <x:color rgb="FFDDD6FE"/>
      </x:bottom>
      <x:diagonal/>
    </x:border>
    <x:border>
      <x:left style="thin">
        <x:color rgb="FFDDD6FE"/>
      </x:left>
      <x:right style="thin">
        <x:color rgb="FFDDD6FE"/>
      </x:right>
      <x:top style="thin">
        <x:color rgb="FFDDD6FE"/>
      </x:top>
      <x:bottom style="thin">
        <x:color rgb="FFDDD6FE"/>
      </x:bottom>
      <x:diagonal/>
    </x:border>
    <x:border>
      <x:left style="thin">
        <x:color rgb="FFDDD6FE"/>
      </x:left>
      <x:right/>
      <x:top style="thin">
        <x:color rgb="FFDDD6FE"/>
      </x:top>
      <x:bottom style="thin">
        <x:color rgb="FFDDD6FE"/>
      </x:bottom>
      <x:diagonal/>
    </x:border>
    <x:border>
      <x:left/>
      <x:right style="thin">
        <x:color rgb="FFDDD6FE"/>
      </x:right>
      <x:top style="thin">
        <x:color rgb="FFDDD6FE"/>
      </x:top>
      <x:bottom/>
      <x:diagonal/>
    </x:border>
    <x:border>
      <x:left style="thin">
        <x:color rgb="FFDDD6FE"/>
      </x:left>
      <x:right style="thin">
        <x:color rgb="FFDDD6FE"/>
      </x:right>
      <x:top style="thin">
        <x:color rgb="FFDDD6FE"/>
      </x:top>
      <x:bottom/>
      <x:diagonal/>
    </x:border>
    <x:border>
      <x:left style="thin">
        <x:color rgb="FFDDD6FE"/>
      </x:left>
      <x:right/>
      <x:top style="thin">
        <x:color rgb="FFDDD6FE"/>
      </x:top>
      <x:bottom/>
      <x:diagonal/>
    </x:border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3" borderId="2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0" fontId="1" fillId="3" borderId="7" xfId="0" applyNumberFormat="1" applyFont="1" applyFill="1" applyBorder="1" applyAlignment="1">
      <x:alignment vertical="center"/>
    </x:xf>
    <x:xf numFmtId="0" fontId="1" fillId="3" borderId="8" xfId="0" applyNumberFormat="1" applyFont="1" applyFill="1" applyBorder="1" applyAlignment="1">
      <x:alignment vertical="center"/>
    </x:xf>
    <x:xf numFmtId="0" fontId="1" fillId="3" borderId="9" xfId="0" applyNumberFormat="1" applyFont="1" applyFill="1" applyBorder="1" applyAlignment="1">
      <x:alignment vertical="center"/>
    </x:xf>
    <x:xf numFmtId="0" fontId="1" fillId="3" borderId="10" xfId="0" applyNumberFormat="1" applyFont="1" applyFill="1" applyBorder="1" applyAlignment="1">
      <x:alignment vertical="center"/>
    </x:xf>
    <x:xf numFmtId="200" fontId="1" fillId="3" borderId="3" xfId="0" applyNumberFormat="1" applyFont="1" applyFill="1" applyBorder="1" applyAlignment="1">
      <x:alignment vertical="center"/>
    </x:xf>
    <x:xf numFmtId="200" fontId="1" fillId="3" borderId="6" xfId="0" applyNumberFormat="1" applyFont="1" applyFill="1" applyBorder="1" applyAlignment="1">
      <x:alignment vertical="center"/>
    </x:xf>
    <x:xf numFmtId="201" fontId="1" fillId="3" borderId="6" xfId="0" applyNumberFormat="1" applyFont="1" applyFill="1" applyBorder="1" applyAlignment="1">
      <x:alignment vertical="center"/>
    </x:xf>
    <x:xf numFmtId="202" fontId="1" fillId="3" borderId="9" xfId="0" applyNumberFormat="1" applyFont="1" applyFill="1" applyBorder="1" applyAlignment="1">
      <x:alignment vertical="center"/>
    </x:xf>
    <x:xf numFmtId="202" fontId="1" fillId="3" borderId="3" xfId="0" applyNumberFormat="1" applyFont="1" applyFill="1" applyBorder="1" applyAlignment="1">
      <x:alignment vertical="center"/>
    </x:xf>
    <x:xf numFmtId="202" fontId="1" fillId="3" borderId="6" xfId="0" applyNumberFormat="1" applyFont="1" applyFill="1" applyBorder="1" applyAlignment="1">
      <x:alignment vertical="center"/>
    </x:xf>
    <x:xf numFmtId="203" fontId="1" fillId="3" borderId="4" xfId="0" applyNumberFormat="1" applyFont="1" applyFill="1" applyBorder="1" applyAlignment="1">
      <x:alignment vertical="center"/>
    </x:xf>
    <x:xf numFmtId="203" fontId="1" fillId="3" borderId="7" xfId="0" applyNumberFormat="1" applyFont="1" applyFill="1" applyBorder="1" applyAlignment="1">
      <x:alignment vertical="center"/>
    </x:xf>
    <x:xf numFmtId="203" fontId="1" fillId="3" borderId="1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0" fontId="1" fillId="3" borderId="4" xfId="0" applyNumberFormat="1" applyFont="1" applyFill="1" applyBorder="1" applyAlignment="1">
      <x:alignment vertical="center"/>
    </x:xf>
    <x:xf numFmtId="200" fontId="1" fillId="3" borderId="7" xfId="0" applyNumberFormat="1" applyFont="1" applyFill="1" applyBorder="1" applyAlignment="1">
      <x:alignment vertical="center"/>
    </x:xf>
    <x:xf numFmtId="204" fontId="1" fillId="3" borderId="7" xfId="0" applyNumberFormat="1" applyFont="1" applyFill="1" applyBorder="1" applyAlignment="1">
      <x:alignment vertical="center"/>
    </x:xf>
    <x:xf numFmtId="201" fontId="1" fillId="3" borderId="7" xfId="0" applyNumberFormat="1" applyFont="1" applyFill="1" applyBorder="1" applyAlignment="1">
      <x:alignment vertical="center"/>
    </x:xf>
    <x:xf numFmtId="202" fontId="1" fillId="3" borderId="1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6" xfId="0" applyNumberFormat="1" applyFont="1" applyFill="1" applyBorder="1" applyAlignment="1">
      <x:alignment vertical="center"/>
    </x:xf>
    <x:xf numFmtId="205" fontId="1" fillId="0" borderId="9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1" fillId="3" borderId="6" xfId="0" applyNumberFormat="1" applyFont="1" applyFill="1" applyBorder="1" applyAlignment="1">
      <x:alignment vertical="center"/>
    </x:xf>
    <x:xf numFmtId="203" fontId="1" fillId="3" borderId="9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fc2786e0db4619" /><Relationship Type="http://schemas.openxmlformats.org/officeDocument/2006/relationships/theme" Target="/xl/theme/theme1.xml" Id="R1542aa50c501488d" /><Relationship Type="http://schemas.openxmlformats.org/officeDocument/2006/relationships/sharedStrings" Target="/xl/sharedStrings.xml" Id="Rfb4be24814054306" /><Relationship Type="http://schemas.openxmlformats.org/officeDocument/2006/relationships/worksheet" Target="/xl/worksheets/sheet1.xml" Id="Rfe6d4b43934541c1" /><Relationship Type="http://schemas.openxmlformats.org/officeDocument/2006/relationships/worksheet" Target="/xl/worksheets/sheet2.xml" Id="R54ab5cee3afb490c" /><Relationship Type="http://schemas.openxmlformats.org/officeDocument/2006/relationships/worksheet" Target="/xl/worksheets/sheet3.xml" Id="R8ee3ab1c1e5a42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9eec4fa4a9486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Lotus Ring adoption forecast (millions)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New adopters (m)</c:v>
          </c:tx>
          <c:spPr>
            <a:ln xmlns:a="http://schemas.openxmlformats.org/drawingml/2006/main" w="19050">
              <a:solidFill>
                <a:srgbClr val="A78BFA"/>
              </a:solidFill>
              <a:prstDash val="solid"/>
            </a:ln>
          </c:spPr>
          <c:marker>
            <c:symbol val="none"/>
          </c:marker>
          <c:cat>
            <c:strRef>
              <c:f>'Overview'!$A$13:$A$24</c:f>
              <c:strCache>
                <c:ptCount val="0"/>
              </c:strCache>
            </c:strRef>
          </c:cat>
          <c:val>
            <c:numRef>
              <c:f>'Overview'!$B$13:$B$24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Cumulative adopters (m)</c:v>
          </c:tx>
          <c:spPr>
            <a:ln xmlns:a="http://schemas.openxmlformats.org/drawingml/2006/main" w="28575">
              <a:solidFill>
                <a:srgbClr val="4C1D95"/>
              </a:solidFill>
              <a:prstDash val="solid"/>
            </a:ln>
          </c:spPr>
          <c:marker>
            <c:symbol val="none"/>
          </c:marker>
          <c:cat>
            <c:strRef>
              <c:f>'Overview'!$A$13:$A$24</c:f>
              <c:strCache>
                <c:ptCount val="0"/>
              </c:strCache>
            </c:strRef>
          </c:cat>
          <c:val>
            <c:numRef>
              <c:f>'Overview'!$C$13:$C$24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4</xdr:row>
      <xdr:rowOff>0</xdr:rowOff>
    </xdr:from>
    <xdr:to>
      <xdr:col>11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9eec4fa4a9486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a4ac44ef94d48d1" /></Relationships>
</file>

<file path=xl/worksheets/sheet1.xml><?xml version="1.0" encoding="utf-8"?>
<x:worksheet xmlns:x="http://schemas.openxmlformats.org/spreadsheetml/2006/main">
  <x:sheetPr>
    <x:tabColor rgb="FF4C1D95"/>
  </x:sheetPr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22" hidden="0" customWidth="1"/>
    <x:col min="4" max="4" width="34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9.200000762939453" hidden="0" customHeight="1">
      <x:c r="A2" s="3" t="str">
        <x:v>Lotus Ring Bass Model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4"/>
      <x:c r="B3" s="4"/>
      <x:c r="C3" s="4"/>
      <x:c r="D3" s="4"/>
      <x:c r="E3" s="4"/>
      <x:c r="F3" s="4"/>
      <x:c r="G3" s="4"/>
      <x:c r="H3" s="4"/>
      <x:c r="I3" s="2"/>
      <x:c r="J3" s="2"/>
      <x:c r="K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7" t="str">
        <x:v>Parameter</x:v>
      </x:c>
      <x:c r="B5" s="7" t="str">
        <x:v>Value</x:v>
      </x:c>
      <x:c r="C5" s="7" t="str">
        <x:v>Unit</x:v>
      </x:c>
      <x:c r="D5" s="7" t="str">
        <x:v>Meaning</x:v>
      </x:c>
      <x:c r="E5" s="2"/>
      <x:c r="F5" s="2"/>
      <x:c r="G5" s="2"/>
      <x:c r="H5" s="2"/>
      <x:c r="I5" s="2"/>
      <x:c r="J5" s="2"/>
      <x:c r="K5" s="2"/>
    </x:row>
    <x:row r="6" ht="15" hidden="0" customHeight="1">
      <x:c r="A6" s="17" t="str">
        <x:v>p</x:v>
      </x:c>
      <x:c r="B6" s="26" t="n">
        <x:f>Model!B3</x:f>
        <x:v>0.0279795016</x:v>
      </x:c>
      <x:c r="C6" s="18" t="str">
        <x:v>annual coefficient</x:v>
      </x:c>
      <x:c r="D6" s="19" t="str">
        <x:v>Innovation effect</x:v>
      </x:c>
      <x:c r="E6" s="2"/>
      <x:c r="F6" s="2"/>
      <x:c r="G6" s="2"/>
      <x:c r="H6" s="2"/>
      <x:c r="I6" s="2"/>
      <x:c r="J6" s="2"/>
      <x:c r="K6" s="2"/>
    </x:row>
    <x:row r="7" ht="15" hidden="0" customHeight="1">
      <x:c r="A7" s="20" t="str">
        <x:v>q</x:v>
      </x:c>
      <x:c r="B7" s="27" t="n">
        <x:f>Model!B4</x:f>
        <x:v>0.7343230352</x:v>
      </x:c>
      <x:c r="C7" s="21" t="str">
        <x:v>annual coefficient</x:v>
      </x:c>
      <x:c r="D7" s="22" t="str">
        <x:v>Imitation effect</x:v>
      </x:c>
      <x:c r="E7" s="2"/>
      <x:c r="F7" s="2"/>
      <x:c r="G7" s="2"/>
      <x:c r="H7" s="2"/>
      <x:c r="I7" s="2"/>
      <x:c r="J7" s="2"/>
      <x:c r="K7" s="2"/>
    </x:row>
    <x:row r="8" ht="15" hidden="0" customHeight="1">
      <x:c r="A8" s="20" t="str">
        <x:v>Lotus market potential</x:v>
      </x:c>
      <x:c r="B8" s="28" t="n">
        <x:f>Model!B6</x:f>
        <x:v>8</x:v>
      </x:c>
      <x:c r="C8" s="21" t="str">
        <x:v>million adopters</x:v>
      </x:c>
      <x:c r="D8" s="22" t="str">
        <x:v>Base-case U.S. serviceable market</x:v>
      </x:c>
      <x:c r="E8" s="2"/>
      <x:c r="F8" s="2"/>
      <x:c r="G8" s="2"/>
      <x:c r="H8" s="2"/>
      <x:c r="I8" s="2"/>
      <x:c r="J8" s="2"/>
      <x:c r="K8" s="2"/>
    </x:row>
    <x:row r="9" ht="15" hidden="0" customHeight="1">
      <x:c r="A9" s="20" t="str">
        <x:v>Smart-speaker fit RMSE</x:v>
      </x:c>
      <x:c r="B9" s="28" t="n">
        <x:f>Model!B8</x:f>
        <x:v>1.357418536</x:v>
      </x:c>
      <x:c r="C9" s="21" t="str">
        <x:v>percentage points</x:v>
      </x:c>
      <x:c r="D9" s="22" t="str">
        <x:v>Typical fit error</x:v>
      </x:c>
      <x:c r="E9" s="2"/>
      <x:c r="F9" s="2"/>
      <x:c r="G9" s="2"/>
      <x:c r="H9" s="2"/>
      <x:c r="I9" s="2"/>
      <x:c r="J9" s="2"/>
      <x:c r="K9" s="2"/>
    </x:row>
    <x:row r="10" ht="15" hidden="0" customHeight="1">
      <x:c r="A10" s="23" t="str">
        <x:v>Smart-speaker fit R-squared</x:v>
      </x:c>
      <x:c r="B10" s="29" t="n">
        <x:f>Model!B9</x:f>
        <x:v>0.9805667953</x:v>
      </x:c>
      <x:c r="C10" s="24" t="str">
        <x:v>ratio</x:v>
      </x:c>
      <x:c r="D10" s="25" t="str">
        <x:v>Variation explained</x:v>
      </x:c>
      <x:c r="E10" s="2"/>
      <x:c r="F10" s="2"/>
      <x:c r="G10" s="2"/>
      <x:c r="H10" s="2"/>
      <x:c r="I10" s="2"/>
      <x:c r="J10" s="2"/>
      <x:c r="K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15" hidden="0" customHeight="1">
      <x:c r="A12" s="7" t="str">
        <x:v>Year</x:v>
      </x:c>
      <x:c r="B12" s="7" t="str">
        <x:v>New adopters (m)</x:v>
      </x:c>
      <x:c r="C12" s="7" t="str">
        <x:v>Cumulative adopters (m)</x:v>
      </x:c>
      <x:c r="D12" s="7" t="str">
        <x:v>Market penetration</x:v>
      </x:c>
      <x:c r="E12" s="2"/>
      <x:c r="F12" s="2"/>
      <x:c r="G12" s="2"/>
      <x:c r="H12" s="2"/>
      <x:c r="I12" s="2"/>
      <x:c r="J12" s="2"/>
      <x:c r="K12" s="2"/>
    </x:row>
    <x:row r="13" ht="15" hidden="0" customHeight="1">
      <x:c r="A13" s="17" t="n">
        <x:f>Model!F25</x:f>
        <x:v>2026</x:v>
      </x:c>
      <x:c r="B13" s="30" t="n">
        <x:f>Model!H25</x:f>
        <x:v>0.3221630607962548</x:v>
      </x:c>
      <x:c r="C13" s="30" t="n">
        <x:f>Model!G25</x:f>
        <x:v>0.3221630607962548</x:v>
      </x:c>
      <x:c r="D13" s="32" t="n">
        <x:f>Model!I25</x:f>
        <x:v>0.04027038259953185</x:v>
      </x:c>
      <x:c r="E13" s="2"/>
      <x:c r="F13" s="2"/>
      <x:c r="G13" s="2"/>
      <x:c r="H13" s="2"/>
      <x:c r="I13" s="2"/>
      <x:c r="J13" s="2"/>
      <x:c r="K13" s="2"/>
    </x:row>
    <x:row r="14" ht="15" hidden="0" customHeight="1">
      <x:c r="A14" s="20" t="n">
        <x:f>Model!F26</x:f>
        <x:v>2027</x:v>
      </x:c>
      <x:c r="B14" s="31" t="n">
        <x:f>Model!H26</x:f>
        <x:v>0.6100080520296411</x:v>
      </x:c>
      <x:c r="C14" s="31" t="n">
        <x:f>Model!G26</x:f>
        <x:v>0.9321711128258959</x:v>
      </x:c>
      <x:c r="D14" s="33" t="n">
        <x:f>Model!I26</x:f>
        <x:v>0.11652138910323699</x:v>
      </x:c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20" t="n">
        <x:f>Model!F27</x:f>
        <x:v>2028</x:v>
      </x:c>
      <x:c r="B15" s="31" t="n">
        <x:f>Model!H27</x:f>
        <x:v>1.0283884108899564</x:v>
      </x:c>
      <x:c r="C15" s="31" t="n">
        <x:f>Model!G27</x:f>
        <x:v>1.9605595237158522</x:v>
      </x:c>
      <x:c r="D15" s="33" t="n">
        <x:f>Model!I27</x:f>
        <x:v>0.24506994046448152</x:v>
      </x:c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20" t="n">
        <x:f>Model!F28</x:f>
        <x:v>2029</x:v>
      </x:c>
      <x:c r="B16" s="31" t="n">
        <x:f>Model!H28</x:f>
        <x:v>1.4356548063611292</x:v>
      </x:c>
      <x:c r="C16" s="31" t="n">
        <x:f>Model!G28</x:f>
        <x:v>3.3962143300769814</x:v>
      </x:c>
      <x:c r="D16" s="33" t="n">
        <x:f>Model!I28</x:f>
        <x:v>0.42452679125962267</x:v>
      </x:c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0" t="n">
        <x:f>Model!F29</x:f>
        <x:v>2030</x:v>
      </x:c>
      <x:c r="B17" s="31" t="n">
        <x:f>Model!H29</x:f>
        <x:v>1.5538469098273735</x:v>
      </x:c>
      <x:c r="C17" s="31" t="n">
        <x:f>Model!G29</x:f>
        <x:v>4.950061239904355</x:v>
      </x:c>
      <x:c r="D17" s="33" t="n">
        <x:f>Model!I29</x:f>
        <x:v>0.6187576549880444</x:v>
      </x:c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0" t="n">
        <x:f>Model!F30</x:f>
        <x:v>2031</x:v>
      </x:c>
      <x:c r="B18" s="31" t="n">
        <x:f>Model!H30</x:f>
        <x:v>1.2801799138509073</x:v>
      </x:c>
      <x:c r="C18" s="31" t="n">
        <x:f>Model!G30</x:f>
        <x:v>6.230241153755262</x:v>
      </x:c>
      <x:c r="D18" s="33" t="n">
        <x:f>Model!I30</x:f>
        <x:v>0.7787801442194078</x:v>
      </x:c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0" t="n">
        <x:f>Model!F31</x:f>
        <x:v>2032</x:v>
      </x:c>
      <x:c r="B19" s="31" t="n">
        <x:f>Model!H31</x:f>
        <x:v>0.838104821716172</x:v>
      </x:c>
      <x:c r="C19" s="31" t="n">
        <x:f>Model!G31</x:f>
        <x:v>7.068345975471434</x:v>
      </x:c>
      <x:c r="D19" s="33" t="n">
        <x:f>Model!I31</x:f>
        <x:v>0.8835432469339293</x:v>
      </x:c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0" t="n">
        <x:f>Model!F32</x:f>
        <x:v>2033</x:v>
      </x:c>
      <x:c r="B20" s="31" t="n">
        <x:f>Model!H32</x:f>
        <x:v>0.4692850490626954</x:v>
      </x:c>
      <x:c r="C20" s="31" t="n">
        <x:f>Model!G32</x:f>
        <x:v>7.53763102453413</x:v>
      </x:c>
      <x:c r="D20" s="33" t="n">
        <x:f>Model!I32</x:f>
        <x:v>0.9422038780667662</x:v>
      </x:c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0" t="n">
        <x:f>Model!F33</x:f>
        <x:v>2034</x:v>
      </x:c>
      <x:c r="B21" s="31" t="n">
        <x:f>Model!H33</x:f>
        <x:v>0.24002891409924398</x:v>
      </x:c>
      <x:c r="C21" s="31" t="n">
        <x:f>Model!G33</x:f>
        <x:v>7.777659938633374</x:v>
      </x:c>
      <x:c r="D21" s="33" t="n">
        <x:f>Model!I33</x:f>
        <x:v>0.9722074923291717</x:v>
      </x:c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0" t="n">
        <x:f>Model!F34</x:f>
        <x:v>2035</x:v>
      </x:c>
      <x:c r="B22" s="31" t="n">
        <x:f>Model!H34</x:f>
        <x:v>0.11709525968756651</x:v>
      </x:c>
      <x:c r="C22" s="31" t="n">
        <x:f>Model!G34</x:f>
        <x:v>7.89475519832094</x:v>
      </x:c>
      <x:c r="D22" s="33" t="n">
        <x:f>Model!I34</x:f>
        <x:v>0.9868443997901175</x:v>
      </x:c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0" t="n">
        <x:f>Model!F35</x:f>
        <x:v>2036</x:v>
      </x:c>
      <x:c r="B23" s="31" t="n">
        <x:f>Model!H35</x:f>
        <x:v>0.05580433515068428</x:v>
      </x:c>
      <x:c r="C23" s="31" t="n">
        <x:f>Model!G35</x:f>
        <x:v>7.950559533471624</x:v>
      </x:c>
      <x:c r="D23" s="33" t="n">
        <x:f>Model!I35</x:f>
        <x:v>0.993819941683953</x:v>
      </x:c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3" t="n">
        <x:f>Model!F36</x:f>
        <x:v>2037</x:v>
      </x:c>
      <x:c r="B24" s="29" t="n">
        <x:f>Model!H36</x:f>
        <x:v>0.026298509991565133</x:v>
      </x:c>
      <x:c r="C24" s="29" t="n">
        <x:f>Model!G36</x:f>
        <x:v>7.9768580434631895</x:v>
      </x:c>
      <x:c r="D24" s="34" t="n">
        <x:f>Model!I36</x:f>
        <x:v>0.9971072554328987</x:v>
      </x:c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37" t="str">
        <x:v>Base case: annual adoption peaks around 2030. The forecast is most sensitive to the 8.0 million market-potential assumption.</x:v>
      </x:c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</x:sheetData>
  <x:mergeCells>
    <x:mergeCell ref="A2:H2"/>
    <x:mergeCell ref="A26:H27"/>
  </x:mergeCells>
  <x:pageMargins left="0.7" right="0.7" top="0.75" bottom="0.75" header="0.3" footer="0.3"/>
  <x:drawing xmlns:r="http://schemas.openxmlformats.org/officeDocument/2006/relationships" r:id="R7a4ac44ef94d48d1"/>
</x:worksheet>
</file>

<file path=xl/worksheets/sheet2.xml><?xml version="1.0" encoding="utf-8"?>
<x:worksheet xmlns:x="http://schemas.openxmlformats.org/spreadsheetml/2006/main">
  <x:sheetPr>
    <x:tabColor rgb="FF6D28D9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4" hidden="0" customWidth="1"/>
    <x:col min="2" max="2" width="12" hidden="0" customWidth="1"/>
    <x:col min="3" max="3" width="20" hidden="0" customWidth="1"/>
    <x:col min="4" max="4" width="20" hidden="0" customWidth="1"/>
    <x:col min="5" max="5" width="20" hidden="0" customWidth="1"/>
    <x:col min="6" max="6" width="12" hidden="0" customWidth="1"/>
    <x:col min="7" max="7" width="24" hidden="0" customWidth="1"/>
    <x:col min="8" max="8" width="24" hidden="0" customWidth="1"/>
    <x:col min="9" max="9" width="24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6.799999237060547" hidden="0" customHeight="1">
      <x:c r="A2" s="38" t="str">
        <x:v>Model build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17" t="str">
        <x:v>p</x:v>
      </x:c>
      <x:c r="B3" s="39" t="n">
        <x:v>0.0279795016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20" t="str">
        <x:v>q</x:v>
      </x:c>
      <x:c r="B4" s="40" t="n">
        <x:v>0.7343230352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15" hidden="0" customHeight="1">
      <x:c r="A5" s="20" t="str">
        <x:v>Smart-speaker M (%)</x:v>
      </x:c>
      <x:c r="B5" s="41" t="n">
        <x:v>0.3688281477</x:v>
      </x:c>
      <x:c r="C5" s="2"/>
      <x:c r="D5" s="2"/>
      <x:c r="E5" s="2"/>
      <x:c r="F5" s="2"/>
      <x:c r="G5" s="2"/>
      <x:c r="H5" s="2"/>
      <x:c r="I5" s="2"/>
      <x:c r="J5" s="2"/>
      <x:c r="K5" s="2"/>
    </x:row>
    <x:row r="6" ht="15" hidden="0" customHeight="1">
      <x:c r="A6" s="20" t="str">
        <x:v>Lotus M (millions)</x:v>
      </x:c>
      <x:c r="B6" s="42" t="n">
        <x:v>8</x:v>
      </x:c>
      <x:c r="C6" s="2"/>
      <x:c r="D6" s="2"/>
      <x:c r="E6" s="2"/>
      <x:c r="F6" s="2"/>
      <x:c r="G6" s="2"/>
      <x:c r="H6" s="2"/>
      <x:c r="I6" s="2"/>
      <x:c r="J6" s="2"/>
      <x:c r="K6" s="2"/>
    </x:row>
    <x:row r="7" ht="15" hidden="0" customHeight="1">
      <x:c r="A7" s="20" t="str">
        <x:v>Smart-speaker M normalized (millions)</x:v>
      </x:c>
      <x:c r="B7" s="42" t="n">
        <x:v>105.5258311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15" hidden="0" customHeight="1">
      <x:c r="A8" s="20" t="str">
        <x:v>RMSE</x:v>
      </x:c>
      <x:c r="B8" s="42" t="n">
        <x:v>1.357418536</x:v>
      </x:c>
      <x:c r="C8" s="2"/>
      <x:c r="D8" s="2"/>
      <x:c r="E8" s="2"/>
      <x:c r="F8" s="2"/>
      <x:c r="G8" s="2"/>
      <x:c r="H8" s="2"/>
      <x:c r="I8" s="2"/>
      <x:c r="J8" s="2"/>
      <x:c r="K8" s="2"/>
    </x:row>
    <x:row r="9" ht="15" hidden="0" customHeight="1">
      <x:c r="A9" s="23" t="str">
        <x:v>R-squared</x:v>
      </x:c>
      <x:c r="B9" s="43" t="n">
        <x:v>0.9805667953</x:v>
      </x:c>
      <x:c r="C9" s="2"/>
      <x:c r="D9" s="2"/>
      <x:c r="E9" s="2"/>
      <x:c r="F9" s="2"/>
      <x:c r="G9" s="2"/>
      <x:c r="H9" s="2"/>
      <x:c r="I9" s="2"/>
      <x:c r="J9" s="2"/>
      <x:c r="K9" s="2"/>
    </x:row>
    <x:row r="10" ht="15" hidden="0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15" hidden="0" customHeight="1">
      <x:c r="A12" s="7" t="str">
        <x:v>Year</x:v>
      </x:c>
      <x:c r="B12" s="7" t="str">
        <x:v>t</x:v>
      </x:c>
      <x:c r="C12" s="7" t="str">
        <x:v>Observed ownership</x:v>
      </x:c>
      <x:c r="D12" s="7" t="str">
        <x:v>Fitted ownership</x:v>
      </x:c>
      <x:c r="E12" s="7" t="str">
        <x:v>Residual</x:v>
      </x:c>
      <x:c r="F12" s="2"/>
      <x:c r="G12" s="2"/>
      <x:c r="H12" s="2"/>
      <x:c r="I12" s="2"/>
      <x:c r="J12" s="2"/>
      <x:c r="K12" s="2"/>
    </x:row>
    <x:row r="13" ht="15" hidden="0" customHeight="1">
      <x:c r="A13" s="2" t="n">
        <x:f>Sources!A6</x:f>
        <x:v>2017</x:v>
      </x:c>
      <x:c r="B13" s="2" t="n">
        <x:f>Sources!B6</x:f>
        <x:v>3</x:v>
      </x:c>
      <x:c r="C13" s="44" t="n">
        <x:f>Sources!C6</x:f>
        <x:v>0.07</x:v>
      </x:c>
      <x:c r="D13" s="44" t="n">
        <x:f>$B$5*(1-EXP(-($B$3+$B$4)*B13))/(1+($B$4/$B$3)*EXP(-($B$3+$B$4)*B13))</x:f>
        <x:v>0.090388692198464</x:v>
      </x:c>
      <x:c r="E13" s="44" t="n">
        <x:f>C13-D13</x:f>
        <x:v>-0.020388692198463995</x:v>
      </x:c>
      <x:c r="F13" s="2"/>
      <x:c r="G13" s="2"/>
      <x:c r="H13" s="2"/>
      <x:c r="I13" s="2"/>
      <x:c r="J13" s="2"/>
      <x:c r="K13" s="2"/>
    </x:row>
    <x:row r="14" ht="15" hidden="0" customHeight="1">
      <x:c r="A14" s="2" t="n">
        <x:f>Sources!A7</x:f>
        <x:v>2018</x:v>
      </x:c>
      <x:c r="B14" s="2" t="n">
        <x:f>Sources!B7</x:f>
        <x:v>4</x:v>
      </x:c>
      <x:c r="C14" s="44" t="n">
        <x:f>Sources!C7</x:f>
        <x:v>0.18</x:v>
      </x:c>
      <x:c r="D14" s="44" t="n">
        <x:f>$B$5*(1-EXP(-($B$3+$B$4)*B14))/(1+($B$4/$B$3)*EXP(-($B$3+$B$4)*B14))</x:f>
        <x:v>0.15657743006931119</x:v>
      </x:c>
      <x:c r="E14" s="44" t="n">
        <x:f>C14-D14</x:f>
        <x:v>0.023422569930688808</x:v>
      </x:c>
      <x:c r="F14" s="2"/>
      <x:c r="G14" s="2"/>
      <x:c r="H14" s="2"/>
      <x:c r="I14" s="2"/>
      <x:c r="J14" s="2"/>
      <x:c r="K14" s="2"/>
    </x:row>
    <x:row r="15" ht="15" hidden="0" customHeight="1">
      <x:c r="A15" s="2" t="n">
        <x:f>Sources!A8</x:f>
        <x:v>2019</x:v>
      </x:c>
      <x:c r="B15" s="2" t="n">
        <x:f>Sources!B8</x:f>
        <x:v>5</x:v>
      </x:c>
      <x:c r="C15" s="44" t="n">
        <x:f>Sources!C8</x:f>
        <x:v>0.23</x:v>
      </x:c>
      <x:c r="D15" s="44" t="n">
        <x:f>$B$5*(1-EXP(-($B$3+$B$4)*B15))/(1+($B$4/$B$3)*EXP(-($B$3+$B$4)*B15))</x:f>
        <x:v>0.22821523976443608</x:v>
      </x:c>
      <x:c r="E15" s="44" t="n">
        <x:f>C15-D15</x:f>
        <x:v>0.0017847602355639258</x:v>
      </x:c>
      <x:c r="F15" s="2"/>
      <x:c r="G15" s="2"/>
      <x:c r="H15" s="2"/>
      <x:c r="I15" s="2"/>
      <x:c r="J15" s="2"/>
      <x:c r="K15" s="2"/>
    </x:row>
    <x:row r="16" ht="15" hidden="0" customHeight="1">
      <x:c r="A16" s="2" t="n">
        <x:f>Sources!A9</x:f>
        <x:v>2020</x:v>
      </x:c>
      <x:c r="B16" s="2" t="n">
        <x:f>Sources!B9</x:f>
        <x:v>6</x:v>
      </x:c>
      <x:c r="C16" s="44" t="n">
        <x:f>Sources!C9</x:f>
        <x:v>0.27</x:v>
      </x:c>
      <x:c r="D16" s="44" t="n">
        <x:f>$B$5*(1-EXP(-($B$3+$B$4)*B16))/(1+($B$4/$B$3)*EXP(-($B$3+$B$4)*B16))</x:f>
        <x:v>0.28723603805798303</x:v>
      </x:c>
      <x:c r="E16" s="44" t="n">
        <x:f>C16-D16</x:f>
        <x:v>-0.017236038057983016</x:v>
      </x:c>
      <x:c r="F16" s="2"/>
      <x:c r="G16" s="2"/>
      <x:c r="H16" s="2"/>
      <x:c r="I16" s="2"/>
      <x:c r="J16" s="2"/>
      <x:c r="K16" s="2"/>
    </x:row>
    <x:row r="17" ht="15" hidden="0" customHeight="1">
      <x:c r="A17" s="2" t="n">
        <x:f>Sources!A10</x:f>
        <x:v>2021</x:v>
      </x:c>
      <x:c r="B17" s="2" t="n">
        <x:f>Sources!B10</x:f>
        <x:v>7</x:v>
      </x:c>
      <x:c r="C17" s="44" t="n">
        <x:f>Sources!C10</x:f>
        <x:v>0.33</x:v>
      </x:c>
      <x:c r="D17" s="44" t="n">
        <x:f>$B$5*(1-EXP(-($B$3+$B$4)*B17))/(1+($B$4/$B$3)*EXP(-($B$3+$B$4)*B17))</x:f>
        <x:v>0.3258756191794848</x:v>
      </x:c>
      <x:c r="E17" s="44" t="n">
        <x:f>C17-D17</x:f>
        <x:v>0.004124380820515194</x:v>
      </x:c>
      <x:c r="F17" s="2"/>
      <x:c r="G17" s="2"/>
      <x:c r="H17" s="2"/>
      <x:c r="I17" s="2"/>
      <x:c r="J17" s="2"/>
      <x:c r="K17" s="2"/>
    </x:row>
    <x:row r="18" ht="15" hidden="0" customHeight="1">
      <x:c r="A18" s="2" t="n">
        <x:f>Sources!A11</x:f>
        <x:v>2022</x:v>
      </x:c>
      <x:c r="B18" s="2" t="n">
        <x:f>Sources!B11</x:f>
        <x:v>8</x:v>
      </x:c>
      <x:c r="C18" s="44" t="n">
        <x:f>Sources!C11</x:f>
        <x:v>0.35</x:v>
      </x:c>
      <x:c r="D18" s="44" t="n">
        <x:f>$B$5*(1-EXP(-($B$3+$B$4)*B18))/(1+($B$4/$B$3)*EXP(-($B$3+$B$4)*B18))</x:f>
        <x:v>0.34751131110312206</x:v>
      </x:c>
      <x:c r="E18" s="44" t="n">
        <x:f>C18-D18</x:f>
        <x:v>0.002488688896877922</x:v>
      </x:c>
      <x:c r="F18" s="2"/>
      <x:c r="G18" s="2"/>
      <x:c r="H18" s="2"/>
      <x:c r="I18" s="2"/>
      <x:c r="J18" s="2"/>
      <x:c r="K18" s="2"/>
    </x:row>
    <x:row r="19" ht="15" hidden="0" customHeight="1">
      <x:c r="A19" s="2" t="n">
        <x:f>Sources!A12</x:f>
        <x:v>2023</x:v>
      </x:c>
      <x:c r="B19" s="2" t="n">
        <x:f>Sources!B12</x:f>
        <x:v>9</x:v>
      </x:c>
      <x:c r="C19" s="44" t="n">
        <x:f>Sources!C12</x:f>
        <x:v>0.36</x:v>
      </x:c>
      <x:c r="D19" s="44" t="n">
        <x:f>$B$5*(1-EXP(-($B$3+$B$4)*B19))/(1+($B$4/$B$3)*EXP(-($B$3+$B$4)*B19))</x:f>
        <x:v>0.3585774885758303</x:v>
      </x:c>
      <x:c r="E19" s="44" t="n">
        <x:f>C19-D19</x:f>
        <x:v>0.001422511424169659</x:v>
      </x:c>
      <x:c r="F19" s="2"/>
      <x:c r="G19" s="2"/>
      <x:c r="H19" s="2"/>
      <x:c r="I19" s="2"/>
      <x:c r="J19" s="2"/>
      <x:c r="K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7" t="str">
        <x:v>Year</x:v>
      </x:c>
      <x:c r="G24" s="7" t="str">
        <x:v>Cumulative adopters (m)</x:v>
      </x:c>
      <x:c r="H24" s="7" t="str">
        <x:v>New adopters (m)</x:v>
      </x:c>
      <x:c r="I24" s="7" t="str">
        <x:v>Market penetration</x:v>
      </x:c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 t="n">
        <x:v>2026</x:v>
      </x:c>
      <x:c r="G25" s="45" t="n">
        <x:f>$B$6*(1-EXP(-($B$3+$B$4)*1))/(1+($B$4/$B$3)*EXP(-($B$3+$B$4)*1))</x:f>
        <x:v>0.3221630607962548</x:v>
      </x:c>
      <x:c r="H25" s="45" t="n">
        <x:f>G25</x:f>
        <x:v>0.3221630607962548</x:v>
      </x:c>
      <x:c r="I25" s="46" t="n">
        <x:f>G25/$B$6</x:f>
        <x:v>0.04027038259953185</x:v>
      </x:c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 t="n">
        <x:v>2027</x:v>
      </x:c>
      <x:c r="G26" s="45" t="n">
        <x:f>$B$6*(1-EXP(-($B$3+$B$4)*2))/(1+($B$4/$B$3)*EXP(-($B$3+$B$4)*2))</x:f>
        <x:v>0.9321711128258959</x:v>
      </x:c>
      <x:c r="H26" s="45" t="n">
        <x:f>G26-G25</x:f>
        <x:v>0.6100080520296411</x:v>
      </x:c>
      <x:c r="I26" s="46" t="n">
        <x:f>G26/$B$6</x:f>
        <x:v>0.11652138910323699</x:v>
      </x:c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 t="n">
        <x:v>2028</x:v>
      </x:c>
      <x:c r="G27" s="45" t="n">
        <x:f>$B$6*(1-EXP(-($B$3+$B$4)*3))/(1+($B$4/$B$3)*EXP(-($B$3+$B$4)*3))</x:f>
        <x:v>1.9605595237158522</x:v>
      </x:c>
      <x:c r="H27" s="45" t="n">
        <x:f>G27-G26</x:f>
        <x:v>1.0283884108899564</x:v>
      </x:c>
      <x:c r="I27" s="46" t="n">
        <x:f>G27/$B$6</x:f>
        <x:v>0.24506994046448152</x:v>
      </x:c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 t="n">
        <x:v>2029</x:v>
      </x:c>
      <x:c r="G28" s="45" t="n">
        <x:f>$B$6*(1-EXP(-($B$3+$B$4)*4))/(1+($B$4/$B$3)*EXP(-($B$3+$B$4)*4))</x:f>
        <x:v>3.3962143300769814</x:v>
      </x:c>
      <x:c r="H28" s="45" t="n">
        <x:f>G28-G27</x:f>
        <x:v>1.4356548063611292</x:v>
      </x:c>
      <x:c r="I28" s="46" t="n">
        <x:f>G28/$B$6</x:f>
        <x:v>0.42452679125962267</x:v>
      </x:c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 t="n">
        <x:v>2030</x:v>
      </x:c>
      <x:c r="G29" s="45" t="n">
        <x:f>$B$6*(1-EXP(-($B$3+$B$4)*5))/(1+($B$4/$B$3)*EXP(-($B$3+$B$4)*5))</x:f>
        <x:v>4.950061239904355</x:v>
      </x:c>
      <x:c r="H29" s="45" t="n">
        <x:f>G29-G28</x:f>
        <x:v>1.5538469098273735</x:v>
      </x:c>
      <x:c r="I29" s="46" t="n">
        <x:f>G29/$B$6</x:f>
        <x:v>0.6187576549880444</x:v>
      </x:c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 t="n">
        <x:v>2031</x:v>
      </x:c>
      <x:c r="G30" s="45" t="n">
        <x:f>$B$6*(1-EXP(-($B$3+$B$4)*6))/(1+($B$4/$B$3)*EXP(-($B$3+$B$4)*6))</x:f>
        <x:v>6.230241153755262</x:v>
      </x:c>
      <x:c r="H30" s="45" t="n">
        <x:f>G30-G29</x:f>
        <x:v>1.2801799138509073</x:v>
      </x:c>
      <x:c r="I30" s="46" t="n">
        <x:f>G30/$B$6</x:f>
        <x:v>0.7787801442194078</x:v>
      </x:c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 t="n">
        <x:v>2032</x:v>
      </x:c>
      <x:c r="G31" s="45" t="n">
        <x:f>$B$6*(1-EXP(-($B$3+$B$4)*7))/(1+($B$4/$B$3)*EXP(-($B$3+$B$4)*7))</x:f>
        <x:v>7.068345975471434</x:v>
      </x:c>
      <x:c r="H31" s="45" t="n">
        <x:f>G31-G30</x:f>
        <x:v>0.838104821716172</x:v>
      </x:c>
      <x:c r="I31" s="46" t="n">
        <x:f>G31/$B$6</x:f>
        <x:v>0.8835432469339293</x:v>
      </x:c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 t="n">
        <x:v>2033</x:v>
      </x:c>
      <x:c r="G32" s="45" t="n">
        <x:f>$B$6*(1-EXP(-($B$3+$B$4)*8))/(1+($B$4/$B$3)*EXP(-($B$3+$B$4)*8))</x:f>
        <x:v>7.53763102453413</x:v>
      </x:c>
      <x:c r="H32" s="45" t="n">
        <x:f>G32-G31</x:f>
        <x:v>0.4692850490626954</x:v>
      </x:c>
      <x:c r="I32" s="46" t="n">
        <x:f>G32/$B$6</x:f>
        <x:v>0.9422038780667662</x:v>
      </x:c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 t="n">
        <x:v>2034</x:v>
      </x:c>
      <x:c r="G33" s="45" t="n">
        <x:f>$B$6*(1-EXP(-($B$3+$B$4)*9))/(1+($B$4/$B$3)*EXP(-($B$3+$B$4)*9))</x:f>
        <x:v>7.777659938633374</x:v>
      </x:c>
      <x:c r="H33" s="45" t="n">
        <x:f>G33-G32</x:f>
        <x:v>0.24002891409924398</x:v>
      </x:c>
      <x:c r="I33" s="46" t="n">
        <x:f>G33/$B$6</x:f>
        <x:v>0.9722074923291717</x:v>
      </x:c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 t="n">
        <x:v>2035</x:v>
      </x:c>
      <x:c r="G34" s="45" t="n">
        <x:f>$B$6*(1-EXP(-($B$3+$B$4)*10))/(1+($B$4/$B$3)*EXP(-($B$3+$B$4)*10))</x:f>
        <x:v>7.89475519832094</x:v>
      </x:c>
      <x:c r="H34" s="45" t="n">
        <x:f>G34-G33</x:f>
        <x:v>0.11709525968756651</x:v>
      </x:c>
      <x:c r="I34" s="46" t="n">
        <x:f>G34/$B$6</x:f>
        <x:v>0.9868443997901175</x:v>
      </x:c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 t="n">
        <x:v>2036</x:v>
      </x:c>
      <x:c r="G35" s="45" t="n">
        <x:f>$B$6*(1-EXP(-($B$3+$B$4)*11))/(1+($B$4/$B$3)*EXP(-($B$3+$B$4)*11))</x:f>
        <x:v>7.950559533471624</x:v>
      </x:c>
      <x:c r="H35" s="45" t="n">
        <x:f>G35-G34</x:f>
        <x:v>0.05580433515068428</x:v>
      </x:c>
      <x:c r="I35" s="46" t="n">
        <x:f>G35/$B$6</x:f>
        <x:v>0.993819941683953</x:v>
      </x:c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 t="n">
        <x:v>2037</x:v>
      </x:c>
      <x:c r="G36" s="45" t="n">
        <x:f>$B$6*(1-EXP(-($B$3+$B$4)*12))/(1+($B$4/$B$3)*EXP(-($B$3+$B$4)*12))</x:f>
        <x:v>7.9768580434631895</x:v>
      </x:c>
      <x:c r="H36" s="45" t="n">
        <x:f>G36-G35</x:f>
        <x:v>0.026298509991565133</x:v>
      </x:c>
      <x:c r="I36" s="46" t="n">
        <x:f>G36/$B$6</x:f>
        <x:v>0.9971072554328987</x:v>
      </x:c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</x:sheetData>
  <x:mergeCells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78BF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6.329999923706055" hidden="0" customWidth="1"/>
    <x:col min="2" max="2" width="8.890000343322754" hidden="0" customWidth="1"/>
    <x:col min="3" max="3" width="21.780000686645508" hidden="0" customWidth="1"/>
    <x:col min="4" max="4" width="35" hidden="0" customWidth="1"/>
    <x:col min="6" max="6" width="22" hidden="0" customWidth="1"/>
    <x:col min="7" max="7" width="50" hidden="0" customWidth="1"/>
    <x:col min="8" max="8" width="24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16.799999237060547" hidden="0" customHeight="1">
      <x:c r="A2" s="38" t="str">
        <x:v>Sources and assumptions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 hidden="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15" hidden="0" customHeight="1">
      <x:c r="A4" s="47" t="str">
        <x:v>Historical series</x:v>
      </x:c>
      <x:c r="B4" s="47" t="str"/>
      <x:c r="C4" s="47" t="str"/>
      <x:c r="D4" s="47" t="str"/>
      <x:c r="E4" s="2"/>
      <x:c r="F4" s="7" t="str">
        <x:v>Reference</x:v>
      </x:c>
      <x:c r="G4" s="7" t="str">
        <x:v>URL</x:v>
      </x:c>
      <x:c r="H4" s="7" t="str">
        <x:v>Use</x:v>
      </x:c>
      <x:c r="I4" s="2"/>
      <x:c r="J4" s="2"/>
      <x:c r="K4" s="2"/>
    </x:row>
    <x:row r="5" ht="15" hidden="0" customHeight="1">
      <x:c r="A5" s="7" t="str">
        <x:v>Year</x:v>
      </x:c>
      <x:c r="B5" s="7" t="str">
        <x:v>t since 2014</x:v>
      </x:c>
      <x:c r="C5" s="7" t="str">
        <x:v>Ownership</x:v>
      </x:c>
      <x:c r="D5" s="7" t="str">
        <x:v>Source</x:v>
      </x:c>
      <x:c r="E5" s="2"/>
      <x:c r="F5" s="57" t="str">
        <x:v>TIME - Lotus Ring</x:v>
      </x:c>
      <x:c r="G5" s="58" t="str">
        <x:v>https://time.com/collections/best-inventions-2025/7318226/lotus-ring/</x:v>
      </x:c>
      <x:c r="H5" s="59" t="str">
        <x:v>Product description</x:v>
      </x:c>
      <x:c r="I5" s="2"/>
      <x:c r="J5" s="2"/>
      <x:c r="K5" s="2"/>
    </x:row>
    <x:row r="6" ht="15" hidden="0" customHeight="1">
      <x:c r="A6" s="8" t="n">
        <x:v>2017</x:v>
      </x:c>
      <x:c r="B6" s="9" t="n">
        <x:v>3</x:v>
      </x:c>
      <x:c r="C6" s="49" t="n">
        <x:v>0.07</x:v>
      </x:c>
      <x:c r="D6" s="10" t="str">
        <x:v>Edison Research, Infinite Dial 2023</x:v>
      </x:c>
      <x:c r="E6" s="2"/>
      <x:c r="F6" s="60" t="str">
        <x:v>Lotus</x:v>
      </x:c>
      <x:c r="G6" s="61" t="str">
        <x:v>https://getlotus.com/</x:v>
      </x:c>
      <x:c r="H6" s="62" t="str">
        <x:v>Features and price</x:v>
      </x:c>
      <x:c r="I6" s="2"/>
      <x:c r="J6" s="2"/>
      <x:c r="K6" s="2"/>
    </x:row>
    <x:row r="7" ht="34" hidden="0" customHeight="1">
      <x:c r="A7" s="11" t="n">
        <x:v>2018</x:v>
      </x:c>
      <x:c r="B7" s="12" t="n">
        <x:v>4</x:v>
      </x:c>
      <x:c r="C7" s="50" t="n">
        <x:v>0.18</x:v>
      </x:c>
      <x:c r="D7" s="13" t="str">
        <x:v>Edison Research, Infinite Dial 2023</x:v>
      </x:c>
      <x:c r="E7" s="2"/>
      <x:c r="F7" s="60" t="str">
        <x:v>Edison Research</x:v>
      </x:c>
      <x:c r="G7" s="61" t="str">
        <x:v>https://www.edisonresearch.com/wp-content/uploads/2023/03/The-Infinite-Dial-2023.pdf</x:v>
      </x:c>
      <x:c r="H7" s="62" t="str">
        <x:v>Historical series</x:v>
      </x:c>
      <x:c r="I7" s="2"/>
      <x:c r="J7" s="2"/>
      <x:c r="K7" s="2"/>
    </x:row>
    <x:row r="8" ht="15" hidden="0" customHeight="1">
      <x:c r="A8" s="11" t="n">
        <x:v>2019</x:v>
      </x:c>
      <x:c r="B8" s="12" t="n">
        <x:v>5</x:v>
      </x:c>
      <x:c r="C8" s="50" t="n">
        <x:v>0.23</x:v>
      </x:c>
      <x:c r="D8" s="13" t="str">
        <x:v>Edison Research, Infinite Dial 2023</x:v>
      </x:c>
      <x:c r="E8" s="2"/>
      <x:c r="F8" s="60" t="str">
        <x:v>Bass (1969)</x:v>
      </x:c>
      <x:c r="G8" s="61" t="str">
        <x:v>https://doi.org/10.1287/mnsc.15.5.215</x:v>
      </x:c>
      <x:c r="H8" s="62" t="str">
        <x:v>Model</x:v>
      </x:c>
      <x:c r="I8" s="2"/>
      <x:c r="J8" s="2"/>
      <x:c r="K8" s="2"/>
    </x:row>
    <x:row r="9" ht="15" hidden="0" customHeight="1">
      <x:c r="A9" s="11" t="n">
        <x:v>2020</x:v>
      </x:c>
      <x:c r="B9" s="12" t="n">
        <x:v>6</x:v>
      </x:c>
      <x:c r="C9" s="50" t="n">
        <x:v>0.27</x:v>
      </x:c>
      <x:c r="D9" s="13" t="str">
        <x:v>Edison Research, Infinite Dial 2023</x:v>
      </x:c>
      <x:c r="E9" s="2"/>
      <x:c r="F9" s="60" t="str">
        <x:v>U.S. Census Bureau</x:v>
      </x:c>
      <x:c r="G9" s="61" t="str">
        <x:v>https://www.census.gov/quickfacts/fact/table/US/PST045225</x:v>
      </x:c>
      <x:c r="H9" s="62" t="str">
        <x:v>Population</x:v>
      </x:c>
      <x:c r="I9" s="2"/>
      <x:c r="J9" s="2"/>
      <x:c r="K9" s="2"/>
    </x:row>
    <x:row r="10" ht="15" hidden="0" customHeight="1">
      <x:c r="A10" s="11" t="n">
        <x:v>2021</x:v>
      </x:c>
      <x:c r="B10" s="12" t="n">
        <x:v>7</x:v>
      </x:c>
      <x:c r="C10" s="50" t="n">
        <x:v>0.33</x:v>
      </x:c>
      <x:c r="D10" s="13" t="str">
        <x:v>Edison Research, Infinite Dial 2023</x:v>
      </x:c>
      <x:c r="E10" s="2"/>
      <x:c r="F10" s="63" t="str">
        <x:v>CDC</x:v>
      </x:c>
      <x:c r="G10" s="64" t="str">
        <x:v>https://www.cdc.gov/places/measure-definitions/disability.html</x:v>
      </x:c>
      <x:c r="H10" s="65" t="str">
        <x:v>Mobility prevalence</x:v>
      </x:c>
      <x:c r="I10" s="2"/>
      <x:c r="J10" s="2"/>
      <x:c r="K10" s="2"/>
    </x:row>
    <x:row r="11" ht="15" hidden="0" customHeight="1">
      <x:c r="A11" s="11" t="n">
        <x:v>2022</x:v>
      </x:c>
      <x:c r="B11" s="12" t="n">
        <x:v>8</x:v>
      </x:c>
      <x:c r="C11" s="50" t="n">
        <x:v>0.35</x:v>
      </x:c>
      <x:c r="D11" s="13" t="str">
        <x:v>Edison Research, Infinite Dial 2023</x:v>
      </x:c>
      <x:c r="E11" s="2"/>
      <x:c r="F11" s="2"/>
      <x:c r="G11" s="2"/>
      <x:c r="H11" s="2"/>
      <x:c r="I11" s="2"/>
      <x:c r="J11" s="2"/>
      <x:c r="K11" s="2"/>
    </x:row>
    <x:row r="12" ht="15" hidden="0" customHeight="1">
      <x:c r="A12" s="14" t="n">
        <x:v>2023</x:v>
      </x:c>
      <x:c r="B12" s="15" t="n">
        <x:v>9</x:v>
      </x:c>
      <x:c r="C12" s="51" t="n">
        <x:v>0.36</x:v>
      </x:c>
      <x:c r="D12" s="16" t="str">
        <x:v>Edison Research, Infinite Dial 2023</x:v>
      </x:c>
      <x:c r="E12" s="2"/>
      <x:c r="F12" s="2"/>
      <x:c r="G12" s="2"/>
      <x:c r="H12" s="2"/>
      <x:c r="I12" s="2"/>
      <x:c r="J12" s="2"/>
      <x:c r="K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15" hidden="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15" hidden="0" customHeight="1">
      <x:c r="A15" s="7" t="str">
        <x:v>Fermi input</x:v>
      </x:c>
      <x:c r="B15" s="7" t="str">
        <x:v>Value</x:v>
      </x:c>
      <x:c r="C15" s="7" t="str">
        <x:v>Source / note</x:v>
      </x:c>
      <x:c r="D15" s="2"/>
      <x:c r="E15" s="2"/>
      <x:c r="F15" s="2"/>
      <x:c r="G15" s="2"/>
      <x:c r="H15" s="2"/>
      <x:c r="I15" s="2"/>
      <x:c r="J15" s="2"/>
      <x:c r="K15" s="2"/>
    </x:row>
    <x:row r="16" ht="15" hidden="0" customHeight="1">
      <x:c r="A16" s="17" t="str">
        <x:v>U.S. population (millions), 2024</x:v>
      </x:c>
      <x:c r="B16" s="30" t="n">
        <x:v>340.110988</x:v>
      </x:c>
      <x:c r="C16" s="19" t="str">
        <x:v>U.S. Census Bureau QuickFacts</x:v>
      </x:c>
      <x:c r="D16" s="2"/>
      <x:c r="E16" s="2"/>
      <x:c r="F16" s="2"/>
      <x:c r="G16" s="2"/>
      <x:c r="H16" s="2"/>
      <x:c r="I16" s="2"/>
      <x:c r="J16" s="2"/>
      <x:c r="K16" s="2"/>
    </x:row>
    <x:row r="17" ht="15" hidden="0" customHeight="1">
      <x:c r="A17" s="20" t="str">
        <x:v>Population under 18</x:v>
      </x:c>
      <x:c r="B17" s="54" t="n">
        <x:v>0.215</x:v>
      </x:c>
      <x:c r="C17" s="22" t="str">
        <x:v>U.S. Census Bureau QuickFacts</x:v>
      </x:c>
      <x:c r="D17" s="2"/>
      <x:c r="E17" s="2"/>
      <x:c r="F17" s="2"/>
      <x:c r="G17" s="2"/>
      <x:c r="H17" s="2"/>
      <x:c r="I17" s="2"/>
      <x:c r="J17" s="2"/>
      <x:c r="K17" s="2"/>
    </x:row>
    <x:row r="18" ht="15" hidden="0" customHeight="1">
      <x:c r="A18" s="20" t="str">
        <x:v>U.S. adults (millions)</x:v>
      </x:c>
      <x:c r="B18" s="31" t="n">
        <x:v>266.987126</x:v>
      </x:c>
      <x:c r="C18" s="22" t="str">
        <x:v>Calculated</x:v>
      </x:c>
      <x:c r="D18" s="2"/>
      <x:c r="E18" s="2"/>
      <x:c r="F18" s="2"/>
      <x:c r="G18" s="2"/>
      <x:c r="H18" s="2"/>
      <x:c r="I18" s="2"/>
      <x:c r="J18" s="2"/>
      <x:c r="K18" s="2"/>
    </x:row>
    <x:row r="19" ht="15" hidden="0" customHeight="1">
      <x:c r="A19" s="20" t="str">
        <x:v>Adults with mobility disability</x:v>
      </x:c>
      <x:c r="B19" s="54" t="n">
        <x:v>0.122</x:v>
      </x:c>
      <x:c r="C19" s="22" t="str">
        <x:v>CDC, 2022 prevalence</x:v>
      </x:c>
      <x:c r="D19" s="2"/>
      <x:c r="E19" s="2"/>
      <x:c r="F19" s="2"/>
      <x:c r="G19" s="2"/>
      <x:c r="H19" s="2"/>
      <x:c r="I19" s="2"/>
      <x:c r="J19" s="2"/>
      <x:c r="K19" s="2"/>
    </x:row>
    <x:row r="20" ht="15" hidden="0" customHeight="1">
      <x:c r="A20" s="23" t="str">
        <x:v>Serviceable share</x:v>
      </x:c>
      <x:c r="B20" s="55" t="n">
        <x:v>0.25</x:v>
      </x:c>
      <x:c r="C20" s="25" t="str">
        <x:v>Modeling assumption</x:v>
      </x:c>
      <x:c r="D20" s="2"/>
      <x:c r="E20" s="2"/>
      <x:c r="F20" s="2"/>
      <x:c r="G20" s="2"/>
      <x:c r="H20" s="2"/>
      <x:c r="I20" s="2"/>
      <x:c r="J20" s="2"/>
      <x:c r="K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</x:sheetData>
  <x:mergeCells>
    <x:mergeCell ref="A2:H2"/>
  </x:mergeCells>
  <x:pageMargins left="0.7" right="0.7" top="0.75" bottom="0.75" header="0.3" footer="0.3"/>
</x:worksheet>
</file>